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s\Personal\Working on It\Eco\finalproduct\data\"/>
    </mc:Choice>
  </mc:AlternateContent>
  <xr:revisionPtr revIDLastSave="0" documentId="8_{113FCED7-5F8E-4E75-8D28-6FACFECAFA60}" xr6:coauthVersionLast="47" xr6:coauthVersionMax="47" xr10:uidLastSave="{00000000-0000-0000-0000-000000000000}"/>
  <bookViews>
    <workbookView xWindow="-103" yWindow="-103" windowWidth="22149" windowHeight="13200" xr2:uid="{00000000-000D-0000-FFFF-FFFF00000000}"/>
  </bookViews>
  <sheets>
    <sheet name="HEART" sheetId="1" r:id="rId1"/>
    <sheet name="ColumnsExplained" sheetId="5" r:id="rId2"/>
    <sheet name="AffordibilityRules" sheetId="3" r:id="rId3"/>
    <sheet name="Metadata"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3" i="1" l="1"/>
  <c r="AL13" i="1"/>
  <c r="AI13" i="1"/>
  <c r="AH13" i="1"/>
  <c r="AG13" i="1"/>
  <c r="AF13" i="1"/>
  <c r="AD13" i="1"/>
  <c r="AC13" i="1"/>
  <c r="AB13" i="1"/>
  <c r="Z13" i="1"/>
  <c r="Y13" i="1"/>
  <c r="X13" i="1"/>
  <c r="V13" i="1"/>
  <c r="U13" i="1"/>
  <c r="T13" i="1"/>
  <c r="R13" i="1"/>
  <c r="Q13" i="1"/>
  <c r="P13" i="1"/>
  <c r="O13" i="1"/>
  <c r="N13" i="1"/>
  <c r="L13" i="1"/>
  <c r="J13" i="1"/>
  <c r="I13" i="1"/>
  <c r="F13" i="1"/>
  <c r="D13" i="1"/>
  <c r="O23" i="1"/>
  <c r="F23" i="1"/>
  <c r="I23" i="1"/>
  <c r="J23" i="1"/>
  <c r="L23" i="1" s="1"/>
  <c r="P23" i="1"/>
  <c r="R23" i="1" s="1"/>
  <c r="U23" i="1"/>
  <c r="V23" i="1"/>
  <c r="X23" i="1"/>
  <c r="Z23" i="1"/>
  <c r="AB23" i="1"/>
  <c r="AD23" i="1"/>
  <c r="AF23" i="1"/>
  <c r="AH23" i="1"/>
  <c r="AL23" i="1"/>
  <c r="F24" i="1"/>
  <c r="I24" i="1"/>
  <c r="J24" i="1"/>
  <c r="L24" i="1" s="1"/>
  <c r="O24" i="1"/>
  <c r="P24" i="1" s="1"/>
  <c r="R24" i="1" s="1"/>
  <c r="U24" i="1"/>
  <c r="V24" i="1"/>
  <c r="X24" i="1"/>
  <c r="Z24" i="1"/>
  <c r="AB24" i="1"/>
  <c r="AD24" i="1"/>
  <c r="AF24" i="1"/>
  <c r="AH24" i="1"/>
  <c r="AL24" i="1"/>
  <c r="AL22" i="1"/>
  <c r="AH22" i="1"/>
  <c r="AF22" i="1"/>
  <c r="AD22" i="1"/>
  <c r="AB22" i="1"/>
  <c r="Z22" i="1"/>
  <c r="X22" i="1"/>
  <c r="V22" i="1"/>
  <c r="U22" i="1"/>
  <c r="O22" i="1"/>
  <c r="Q22" i="1" s="1"/>
  <c r="J22" i="1"/>
  <c r="L22" i="1" s="1"/>
  <c r="I22" i="1"/>
  <c r="F22" i="1"/>
  <c r="AL21" i="1"/>
  <c r="AH21" i="1"/>
  <c r="AF21" i="1"/>
  <c r="AD21" i="1"/>
  <c r="AB21" i="1"/>
  <c r="Z21" i="1"/>
  <c r="X21" i="1"/>
  <c r="V21" i="1"/>
  <c r="U21" i="1"/>
  <c r="O21" i="1"/>
  <c r="Q21" i="1" s="1"/>
  <c r="J21" i="1"/>
  <c r="L21" i="1" s="1"/>
  <c r="I21" i="1"/>
  <c r="F21" i="1"/>
  <c r="AL20" i="1"/>
  <c r="AH20" i="1"/>
  <c r="AF20" i="1"/>
  <c r="AD20" i="1"/>
  <c r="AB20" i="1"/>
  <c r="Z20" i="1"/>
  <c r="X20" i="1"/>
  <c r="V20" i="1"/>
  <c r="U20" i="1"/>
  <c r="O20" i="1"/>
  <c r="Q20" i="1" s="1"/>
  <c r="J20" i="1"/>
  <c r="L20" i="1" s="1"/>
  <c r="I20" i="1"/>
  <c r="F20" i="1"/>
  <c r="A20" i="1"/>
  <c r="A21" i="1" s="1"/>
  <c r="A22" i="1" s="1"/>
  <c r="A23" i="1" s="1"/>
  <c r="A24" i="1" s="1"/>
  <c r="AL19" i="1"/>
  <c r="AH19" i="1"/>
  <c r="AF19" i="1"/>
  <c r="AD19" i="1"/>
  <c r="AB19" i="1"/>
  <c r="Z19" i="1"/>
  <c r="X19" i="1"/>
  <c r="V19" i="1"/>
  <c r="U19" i="1"/>
  <c r="O19" i="1"/>
  <c r="Q19" i="1" s="1"/>
  <c r="J19" i="1"/>
  <c r="L19" i="1" s="1"/>
  <c r="I19" i="1"/>
  <c r="F19" i="1"/>
  <c r="AL18" i="1"/>
  <c r="AH18" i="1"/>
  <c r="AF18" i="1"/>
  <c r="AD18" i="1"/>
  <c r="AB18" i="1"/>
  <c r="Z18" i="1"/>
  <c r="X18" i="1"/>
  <c r="V18" i="1"/>
  <c r="U18" i="1"/>
  <c r="O18" i="1"/>
  <c r="Q18" i="1" s="1"/>
  <c r="J18" i="1"/>
  <c r="L18" i="1" s="1"/>
  <c r="AM18" i="1" s="1"/>
  <c r="I18" i="1"/>
  <c r="F18" i="1"/>
  <c r="AL17" i="1"/>
  <c r="AH17" i="1"/>
  <c r="AF17" i="1"/>
  <c r="AD17" i="1"/>
  <c r="AB17" i="1"/>
  <c r="Z17" i="1"/>
  <c r="X17" i="1"/>
  <c r="V17" i="1"/>
  <c r="U17" i="1"/>
  <c r="O17" i="1"/>
  <c r="P17" i="1" s="1"/>
  <c r="R17" i="1" s="1"/>
  <c r="J17" i="1"/>
  <c r="L17" i="1" s="1"/>
  <c r="AM17" i="1" s="1"/>
  <c r="I17" i="1"/>
  <c r="F17" i="1"/>
  <c r="AL16" i="1"/>
  <c r="AH16" i="1"/>
  <c r="AF16" i="1"/>
  <c r="AD16" i="1"/>
  <c r="AB16" i="1"/>
  <c r="Z16" i="1"/>
  <c r="X16" i="1"/>
  <c r="V16" i="1"/>
  <c r="U16" i="1"/>
  <c r="O16" i="1"/>
  <c r="Q16" i="1" s="1"/>
  <c r="J16" i="1"/>
  <c r="L16" i="1" s="1"/>
  <c r="I16" i="1"/>
  <c r="F16" i="1"/>
  <c r="A16" i="1"/>
  <c r="A17" i="1" s="1"/>
  <c r="A18" i="1" s="1"/>
  <c r="AL15" i="1"/>
  <c r="AH15" i="1"/>
  <c r="AF15" i="1"/>
  <c r="AD15" i="1"/>
  <c r="AB15" i="1"/>
  <c r="Z15" i="1"/>
  <c r="X15" i="1"/>
  <c r="V15" i="1"/>
  <c r="U15" i="1"/>
  <c r="O15" i="1"/>
  <c r="P15" i="1" s="1"/>
  <c r="R15" i="1" s="1"/>
  <c r="L15" i="1"/>
  <c r="AM15" i="1" s="1"/>
  <c r="J15" i="1"/>
  <c r="I15" i="1"/>
  <c r="F15" i="1"/>
  <c r="AL14" i="1"/>
  <c r="AH14" i="1"/>
  <c r="AF14" i="1"/>
  <c r="AD14" i="1"/>
  <c r="AB14" i="1"/>
  <c r="Z14" i="1"/>
  <c r="X14" i="1"/>
  <c r="V14" i="1"/>
  <c r="U14" i="1"/>
  <c r="O14" i="1"/>
  <c r="Q14" i="1" s="1"/>
  <c r="J14" i="1"/>
  <c r="L14" i="1" s="1"/>
  <c r="AM14" i="1" s="1"/>
  <c r="I14" i="1"/>
  <c r="F14" i="1"/>
  <c r="AL12" i="1"/>
  <c r="AH12" i="1"/>
  <c r="AF12" i="1"/>
  <c r="AD12" i="1"/>
  <c r="AB12" i="1"/>
  <c r="Z12" i="1"/>
  <c r="X12" i="1"/>
  <c r="V12" i="1"/>
  <c r="U12" i="1"/>
  <c r="O12" i="1"/>
  <c r="Q12" i="1" s="1"/>
  <c r="J12" i="1"/>
  <c r="L12" i="1" s="1"/>
  <c r="I12" i="1"/>
  <c r="F12" i="1"/>
  <c r="A12" i="1"/>
  <c r="A14" i="1" s="1"/>
  <c r="AL11" i="1"/>
  <c r="AH11" i="1"/>
  <c r="AF11" i="1"/>
  <c r="AD11" i="1"/>
  <c r="AB11" i="1"/>
  <c r="Z11" i="1"/>
  <c r="X11" i="1"/>
  <c r="V11" i="1"/>
  <c r="U11" i="1"/>
  <c r="O11" i="1"/>
  <c r="P11" i="1" s="1"/>
  <c r="R11" i="1" s="1"/>
  <c r="J11" i="1"/>
  <c r="L11" i="1" s="1"/>
  <c r="AM11" i="1" s="1"/>
  <c r="I11" i="1"/>
  <c r="F11" i="1"/>
  <c r="AL10" i="1"/>
  <c r="AH10" i="1"/>
  <c r="AF10" i="1"/>
  <c r="AD10" i="1"/>
  <c r="AB10" i="1"/>
  <c r="Z10" i="1"/>
  <c r="X10" i="1"/>
  <c r="V10" i="1"/>
  <c r="U10" i="1"/>
  <c r="O10" i="1"/>
  <c r="Q10" i="1" s="1"/>
  <c r="J10" i="1"/>
  <c r="L10" i="1" s="1"/>
  <c r="I10" i="1"/>
  <c r="F10" i="1"/>
  <c r="AL9" i="1"/>
  <c r="AH9" i="1"/>
  <c r="AF9" i="1"/>
  <c r="AD9" i="1"/>
  <c r="AB9" i="1"/>
  <c r="Z9" i="1"/>
  <c r="X9" i="1"/>
  <c r="V9" i="1"/>
  <c r="U9" i="1"/>
  <c r="O9" i="1"/>
  <c r="Q9" i="1" s="1"/>
  <c r="J9" i="1"/>
  <c r="L9" i="1" s="1"/>
  <c r="I9" i="1"/>
  <c r="F9" i="1"/>
  <c r="AL8" i="1"/>
  <c r="AH8" i="1"/>
  <c r="AF8" i="1"/>
  <c r="AD8" i="1"/>
  <c r="AB8" i="1"/>
  <c r="Z8" i="1"/>
  <c r="X8" i="1"/>
  <c r="V8" i="1"/>
  <c r="U8" i="1"/>
  <c r="O8" i="1"/>
  <c r="P8" i="1" s="1"/>
  <c r="R8" i="1" s="1"/>
  <c r="J8" i="1"/>
  <c r="L8" i="1" s="1"/>
  <c r="AM8" i="1" s="1"/>
  <c r="I8" i="1"/>
  <c r="F8" i="1"/>
  <c r="A8" i="1"/>
  <c r="A9" i="1" s="1"/>
  <c r="A10" i="1" s="1"/>
  <c r="AL7" i="1"/>
  <c r="AH7" i="1"/>
  <c r="AF7" i="1"/>
  <c r="AD7" i="1"/>
  <c r="AB7" i="1"/>
  <c r="Z7" i="1"/>
  <c r="X7" i="1"/>
  <c r="V7" i="1"/>
  <c r="U7" i="1"/>
  <c r="O7" i="1"/>
  <c r="Q7" i="1" s="1"/>
  <c r="J7" i="1"/>
  <c r="L7" i="1" s="1"/>
  <c r="AM7" i="1" s="1"/>
  <c r="I7" i="1"/>
  <c r="F7" i="1"/>
  <c r="AL6" i="1"/>
  <c r="AH6" i="1"/>
  <c r="AF6" i="1"/>
  <c r="AD6" i="1"/>
  <c r="AB6" i="1"/>
  <c r="Z6" i="1"/>
  <c r="X6" i="1"/>
  <c r="V6" i="1"/>
  <c r="U6" i="1"/>
  <c r="O6" i="1"/>
  <c r="Q6" i="1" s="1"/>
  <c r="J6" i="1"/>
  <c r="L6" i="1" s="1"/>
  <c r="I6" i="1"/>
  <c r="F6" i="1"/>
  <c r="AL5" i="1"/>
  <c r="AH5" i="1"/>
  <c r="AF5" i="1"/>
  <c r="AD5" i="1"/>
  <c r="AB5" i="1"/>
  <c r="Z5" i="1"/>
  <c r="X5" i="1"/>
  <c r="V5" i="1"/>
  <c r="U5" i="1"/>
  <c r="O5" i="1"/>
  <c r="Q5" i="1" s="1"/>
  <c r="J5" i="1"/>
  <c r="L5" i="1" s="1"/>
  <c r="I5" i="1"/>
  <c r="F5" i="1"/>
  <c r="AL4" i="1"/>
  <c r="AH4" i="1"/>
  <c r="AF4" i="1"/>
  <c r="AD4" i="1"/>
  <c r="AB4" i="1"/>
  <c r="Z4" i="1"/>
  <c r="X4" i="1"/>
  <c r="V4" i="1"/>
  <c r="U4" i="1"/>
  <c r="O4" i="1"/>
  <c r="Q4" i="1" s="1"/>
  <c r="J4" i="1"/>
  <c r="L4" i="1" s="1"/>
  <c r="AM4" i="1" s="1"/>
  <c r="I4" i="1"/>
  <c r="F4" i="1"/>
  <c r="A4" i="1"/>
  <c r="A5" i="1" s="1"/>
  <c r="A6" i="1" s="1"/>
  <c r="AL3" i="1"/>
  <c r="AH3" i="1"/>
  <c r="AF3" i="1"/>
  <c r="AD3" i="1"/>
  <c r="AB3" i="1"/>
  <c r="Z3" i="1"/>
  <c r="X3" i="1"/>
  <c r="V3" i="1"/>
  <c r="U3" i="1"/>
  <c r="O3" i="1"/>
  <c r="Q3" i="1" s="1"/>
  <c r="J3" i="1"/>
  <c r="L3" i="1" s="1"/>
  <c r="I3" i="1"/>
  <c r="F3" i="1"/>
  <c r="J2" i="1"/>
  <c r="Q24" i="1" l="1"/>
  <c r="P5" i="1"/>
  <c r="R5" i="1" s="1"/>
  <c r="AI24" i="1"/>
  <c r="AM24" i="1"/>
  <c r="AM23" i="1"/>
  <c r="Q23" i="1"/>
  <c r="AI23" i="1"/>
  <c r="AM21" i="1"/>
  <c r="P7" i="1"/>
  <c r="R7" i="1" s="1"/>
  <c r="AM5" i="1"/>
  <c r="AM19" i="1"/>
  <c r="Q8" i="1"/>
  <c r="AI8" i="1" s="1"/>
  <c r="AM16" i="1"/>
  <c r="AM12" i="1"/>
  <c r="AM3" i="1"/>
  <c r="AI4" i="1"/>
  <c r="P6" i="1"/>
  <c r="R6" i="1" s="1"/>
  <c r="AI20" i="1"/>
  <c r="AI19" i="1"/>
  <c r="P3" i="1"/>
  <c r="R3" i="1" s="1"/>
  <c r="P4" i="1"/>
  <c r="R4" i="1" s="1"/>
  <c r="AM10" i="1"/>
  <c r="AM20" i="1"/>
  <c r="P10" i="1"/>
  <c r="R10" i="1" s="1"/>
  <c r="P12" i="1"/>
  <c r="R12" i="1" s="1"/>
  <c r="P14" i="1"/>
  <c r="R14" i="1" s="1"/>
  <c r="P9" i="1"/>
  <c r="R9" i="1" s="1"/>
  <c r="AI9" i="1"/>
  <c r="AI10" i="1"/>
  <c r="AM22" i="1"/>
  <c r="AM9" i="1"/>
  <c r="Q11" i="1"/>
  <c r="AI11" i="1" s="1"/>
  <c r="AI3" i="1"/>
  <c r="AM6" i="1"/>
  <c r="AI6" i="1"/>
  <c r="AI7" i="1"/>
  <c r="AI12" i="1"/>
  <c r="AI14" i="1"/>
  <c r="AI22" i="1"/>
  <c r="AI21" i="1"/>
  <c r="AI5" i="1"/>
  <c r="AI16" i="1"/>
  <c r="AI18" i="1"/>
  <c r="Q15" i="1"/>
  <c r="AI15" i="1" s="1"/>
  <c r="Q17" i="1"/>
  <c r="AI17" i="1" s="1"/>
  <c r="P20" i="1"/>
  <c r="R20" i="1" s="1"/>
  <c r="P22" i="1"/>
  <c r="R22" i="1" s="1"/>
  <c r="P16" i="1"/>
  <c r="R16" i="1" s="1"/>
  <c r="P18" i="1"/>
  <c r="R18" i="1" s="1"/>
  <c r="P19" i="1"/>
  <c r="R19" i="1" s="1"/>
  <c r="P21" i="1"/>
  <c r="R21" i="1" s="1"/>
</calcChain>
</file>

<file path=xl/sharedStrings.xml><?xml version="1.0" encoding="utf-8"?>
<sst xmlns="http://schemas.openxmlformats.org/spreadsheetml/2006/main" count="246" uniqueCount="178">
  <si>
    <t>COUNTRY</t>
  </si>
  <si>
    <t>Country GDP (in USD)</t>
  </si>
  <si>
    <t>Country GDP Global Ranking</t>
  </si>
  <si>
    <t xml:space="preserve">Country GDP ( %)To Global GDP </t>
  </si>
  <si>
    <t>Total Global Population</t>
  </si>
  <si>
    <t>Country population</t>
  </si>
  <si>
    <t>Country population To global Population ( %)</t>
  </si>
  <si>
    <t>Per Capita income(PCI)</t>
  </si>
  <si>
    <t>Country inflation ( %)</t>
  </si>
  <si>
    <t>Adjusted PCI (APCI)</t>
  </si>
  <si>
    <t>Intrest Rate ( %)</t>
  </si>
  <si>
    <t xml:space="preserve"> Country Total Debt (in USD)</t>
  </si>
  <si>
    <t>Country Interest Payment (in USD)</t>
  </si>
  <si>
    <t>Country Adjusted Debt (in USD)</t>
  </si>
  <si>
    <t>Intrest Payment to Country GDP( %)</t>
  </si>
  <si>
    <t>Country Adjusted Debt to GDP(%)</t>
  </si>
  <si>
    <t>Total Global Trade (in USD)</t>
  </si>
  <si>
    <t>Country Trade (in USD)</t>
  </si>
  <si>
    <t>Country % to  global trade</t>
  </si>
  <si>
    <t>Trade Contribution to GDP ( %)</t>
  </si>
  <si>
    <t>Trade Balance (in USD; + - )</t>
  </si>
  <si>
    <t>Trade balnce to GDP ( %)</t>
  </si>
  <si>
    <t>Housing Contribution to GDP (in USD)</t>
  </si>
  <si>
    <t>Housing Contribution to GDP ( %)</t>
  </si>
  <si>
    <t>Country Housing Units</t>
  </si>
  <si>
    <t xml:space="preserve">Country House per Person </t>
  </si>
  <si>
    <t>Health Contribution to GDP</t>
  </si>
  <si>
    <t>Health Contribution to GDP ( %)</t>
  </si>
  <si>
    <t>Energy Contribution To GDP</t>
  </si>
  <si>
    <t>Energy Contribution To GDP  ( %)</t>
  </si>
  <si>
    <t>Education Contribution To GDP</t>
  </si>
  <si>
    <t>Education Contribution To GDP ( %)</t>
  </si>
  <si>
    <t>Heart Value (HV--Range; 0-1)</t>
  </si>
  <si>
    <t>HDI(Range: 0-1)</t>
  </si>
  <si>
    <t>GINI (Range: 0-1)</t>
  </si>
  <si>
    <t>Adjusted HDI (AHDI) == HDI-GINI</t>
  </si>
  <si>
    <t>HEART Affordability Value (APCI*AHDI)</t>
  </si>
  <si>
    <t>Heart  AFFORDABILITY RANKING (HAR)</t>
  </si>
  <si>
    <t>HEART SCORE (HV&amp;HAR)</t>
  </si>
  <si>
    <t>Brief Description of HEART Scores</t>
  </si>
  <si>
    <t>WORLD</t>
  </si>
  <si>
    <t>USA</t>
  </si>
  <si>
    <t>A</t>
  </si>
  <si>
    <t>0.65A</t>
  </si>
  <si>
    <t>Biggest economy per GDP.Facing high debt/GDP and trade defecit challenges. Uncertain and unpredictable trade policies are inflationary and would put pressure on economic growth. Must reach economic normality quickly to fix US and global economy.</t>
  </si>
  <si>
    <t>INDIA</t>
  </si>
  <si>
    <t>D-</t>
  </si>
  <si>
    <t>0.17D-</t>
  </si>
  <si>
    <t>4th largest per GDP but underperformed against peer China.Very low Affordability and Human development. Must adopt inclussive economy &amp; fix US tarrif threat.</t>
  </si>
  <si>
    <t>INDONESIA</t>
  </si>
  <si>
    <t>0.43D-</t>
  </si>
  <si>
    <t>17th largest per GDP. Facing several economic challenges including low growth, Affordability and impact of global trade uncertain factors.</t>
  </si>
  <si>
    <t>BRAZIL</t>
  </si>
  <si>
    <t>D</t>
  </si>
  <si>
    <t>0.33D</t>
  </si>
  <si>
    <t>10th largest per GDP. Facing economic growth and US tarrifs challenges.High debt,rising inflation and low productivity compromised per capita income.Also must fix political uncertainity to focus on economic diversification.</t>
  </si>
  <si>
    <t>TURKEY</t>
  </si>
  <si>
    <t>0.20D</t>
  </si>
  <si>
    <t>16th largest per GDP. Facing several economic challenges including low growth, abnormal high inflation and interest rate,currency fluctuations and affordability pressure. War in Syria,Middle East and Ukraine also impacted economic growth.US tarrifs and global uncertainty compumded economic pressure.</t>
  </si>
  <si>
    <t>MEXICO</t>
  </si>
  <si>
    <t>0,32D</t>
  </si>
  <si>
    <t>15th largest per GDP. Facing several economic challenges the most important one US Trade war started against both Canada and Mexico as North American Economies are very much integrated among member countries. Economy will remain under pressure till US trade war is ended.</t>
  </si>
  <si>
    <t>CHINA</t>
  </si>
  <si>
    <t>D+</t>
  </si>
  <si>
    <t>0.73D+</t>
  </si>
  <si>
    <t>Second biggest per GDP. Well performed than US due to low Debt/GDP and surplus in Trade.</t>
  </si>
  <si>
    <t>RUSSIA</t>
  </si>
  <si>
    <t>0.51D+</t>
  </si>
  <si>
    <t>11th largest per GDP. Facing low economic growth,sanctions,inflation,ageing population,war with Ukkraine,supply chain disruption, US tarrifs and shrinking global market access are biggest challenges. Low oil prices and prolong war with Ukraine would further put pressure on economy and increase social challenges.</t>
  </si>
  <si>
    <t>SAUDI ARABIA</t>
  </si>
  <si>
    <t>C</t>
  </si>
  <si>
    <t>0.76C</t>
  </si>
  <si>
    <t>19th largest per GDP. As per HEART Score, KSA has been ranked as best performing economy among G20 nations. It has also been observed that the country has focused more on social development and health care compared to peer nations. High performing Energy sector has continued augmenting economic growth.</t>
  </si>
  <si>
    <t>SOUTH KOREA</t>
  </si>
  <si>
    <t>B-</t>
  </si>
  <si>
    <t>0.36B-</t>
  </si>
  <si>
    <t>13th largest per GDP. Facing low economic growth,ageing population ,US tarrifs and overdependencies of few corporates are biggest challenges. Political turmoil must settle to move on. Should scout normalized relations with North Korea to improve business confidence.</t>
  </si>
  <si>
    <t>JAPAN</t>
  </si>
  <si>
    <t>5th largest per GDP. Facing growth,ageing population and US threat challenges.</t>
  </si>
  <si>
    <t>SPAIN</t>
  </si>
  <si>
    <t>0.48B-</t>
  </si>
  <si>
    <t>12th largest per GDP. Facing low economic growth,high debt,unemployment and US tarrifs are biggest challenges. Political fragmentation must settle to start reforms.</t>
  </si>
  <si>
    <t>ITALY</t>
  </si>
  <si>
    <t>0.45B-</t>
  </si>
  <si>
    <t>8th largest per GDP. Facing economic growth and US tarrifs challenges.High debt &amp; ageing population also factors of concerns.Increase defence spending to 5% to meet NATAO target would compromise social sectors.</t>
  </si>
  <si>
    <t>FRANCE</t>
  </si>
  <si>
    <t>B</t>
  </si>
  <si>
    <t>0.44B</t>
  </si>
  <si>
    <t>7th largest per GDP. Facing economic growth and US tarrifs challenges.Political unrest would exacerbate economic situation.</t>
  </si>
  <si>
    <t>UNITED KINGDOM</t>
  </si>
  <si>
    <t>B+</t>
  </si>
  <si>
    <t>0.38B+</t>
  </si>
  <si>
    <t>6th largest per GDP. Facing economic growth and US tarrifs challenges.Political decision leaving EU did not go well economically as it restricted market access.Economic diversification needed.</t>
  </si>
  <si>
    <t>CANADA</t>
  </si>
  <si>
    <t>0.41B+</t>
  </si>
  <si>
    <t>9th largest per GDP.Stable economy.Facing trade and tarrifs challenges from USA.</t>
  </si>
  <si>
    <t>GERMANY</t>
  </si>
  <si>
    <t>A-</t>
  </si>
  <si>
    <t>0.54A-</t>
  </si>
  <si>
    <t>Third biggest per GDP. Face challenges on low population &amp; economic growth and US tarrifs threat.</t>
  </si>
  <si>
    <t>AUSTRALIA</t>
  </si>
  <si>
    <t>0.34A-</t>
  </si>
  <si>
    <t>14th largest per GDP. Facing several economic challenges including low growth, inflation and affordability pressure. US tarrifs and global uncertainty compumded economic pressure. Despite all, Australia considered to be a country performing good.</t>
  </si>
  <si>
    <t>NETHERLAND</t>
  </si>
  <si>
    <t>0.50A</t>
  </si>
  <si>
    <t>18th largest per GDP. One of the best performing economies among G20 nations. Also, one of the best in the world on Affordability.</t>
  </si>
  <si>
    <t>SWITZERLAND</t>
  </si>
  <si>
    <t>A+</t>
  </si>
  <si>
    <t>0.52A+</t>
  </si>
  <si>
    <t>20th largest per GDP.As per HEART Score, Switzerland has been ranked as best performing economy among G20 nations in terms of adjusted per capita income. It has also been ranked as the best country for social benefits and performance.</t>
  </si>
  <si>
    <t>PCI</t>
  </si>
  <si>
    <t>HV</t>
  </si>
  <si>
    <t>HAR</t>
  </si>
  <si>
    <t>HV Statistical Analysis</t>
  </si>
  <si>
    <t>RANGE</t>
  </si>
  <si>
    <t>MEAN</t>
  </si>
  <si>
    <t>SAMPLE STANDARD DEVIATION</t>
  </si>
  <si>
    <t>Coefficient of Variation (%)</t>
  </si>
  <si>
    <t>SHORT FORMS</t>
  </si>
  <si>
    <t>Per Capita Income</t>
  </si>
  <si>
    <t>HEART value</t>
  </si>
  <si>
    <t>HEART Affordability Ranking</t>
  </si>
  <si>
    <t>Population &amp; GDP Values</t>
  </si>
  <si>
    <t>Expressed in Millions</t>
  </si>
  <si>
    <t>PCI Value</t>
  </si>
  <si>
    <t>Actual values</t>
  </si>
  <si>
    <t>All values are in</t>
  </si>
  <si>
    <t>US$</t>
  </si>
  <si>
    <t>S.No</t>
  </si>
  <si>
    <t>if APCI*AHDI(US$)</t>
  </si>
  <si>
    <t>Assigned Ranking</t>
  </si>
  <si>
    <t>0-2,500</t>
  </si>
  <si>
    <t>2,501-5,000</t>
  </si>
  <si>
    <t>5,001-10,000</t>
  </si>
  <si>
    <t>10,001-12,500</t>
  </si>
  <si>
    <t>C-</t>
  </si>
  <si>
    <t>12,501-15,000</t>
  </si>
  <si>
    <t>15,001-20,000</t>
  </si>
  <si>
    <t>C+</t>
  </si>
  <si>
    <t>20,001-25,000</t>
  </si>
  <si>
    <t>25,001-30,000</t>
  </si>
  <si>
    <t>30,001-35,000</t>
  </si>
  <si>
    <t>35,001-40,000</t>
  </si>
  <si>
    <t>40,001-50,000</t>
  </si>
  <si>
    <t>50,001-100,000</t>
  </si>
  <si>
    <t>AV- Statistical Analysis</t>
  </si>
  <si>
    <t>$ 67,958.70</t>
  </si>
  <si>
    <t>$ 22,987.16</t>
  </si>
  <si>
    <t>$ 18,593.88</t>
  </si>
  <si>
    <t>S. No</t>
  </si>
  <si>
    <t>Serial Number just to Number it</t>
  </si>
  <si>
    <t>Columns</t>
  </si>
  <si>
    <t>Explaination</t>
  </si>
  <si>
    <t>Name of the Country</t>
  </si>
  <si>
    <t>Global GDP (in USD)</t>
  </si>
  <si>
    <t>Global GDP, GDP of the World or we can say GDP of all the countries in the world in USD.</t>
  </si>
  <si>
    <t>GDP of the Respective Country in USD.</t>
  </si>
  <si>
    <t>What is the Ranking of the Country based on their GDP like country with the max GDP would be 1.</t>
  </si>
  <si>
    <t>Performance</t>
  </si>
  <si>
    <t>Superb</t>
  </si>
  <si>
    <t>Very Week</t>
  </si>
  <si>
    <t>Poor</t>
  </si>
  <si>
    <t>Challenging</t>
  </si>
  <si>
    <t>Border Line</t>
  </si>
  <si>
    <t>Imporoved</t>
  </si>
  <si>
    <t>Moderate</t>
  </si>
  <si>
    <t>Satisfactory</t>
  </si>
  <si>
    <t>Good</t>
  </si>
  <si>
    <t>Very Good</t>
  </si>
  <si>
    <t>High</t>
  </si>
  <si>
    <t>Excellent</t>
  </si>
  <si>
    <t>ARGENTINA</t>
  </si>
  <si>
    <t>0.22D</t>
  </si>
  <si>
    <t>SOUTH AFRICA</t>
  </si>
  <si>
    <t>0.40D-</t>
  </si>
  <si>
    <t>Argentina is a member of G-20 and ranks as the 23rd-largest economy in the world, producing $683.53 billion in national output out of the $113.79 trillion global GDP. This means Argentina contributes 0.80% to the world economy a modest share relative to global production.</t>
  </si>
  <si>
    <t>South Africa currently has the largest economy in Africa. The country is a permanent member of G-20 and recently hosted annual G-20 summit in Johannesburg. South Africa is a mid-sized global economy with over $426 billions of GDP nominal representing 0.37% of the global economy also reflecting a relatively small but regionally influential economic presence.</t>
  </si>
  <si>
    <t>0.35B-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</si>
</sst>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quot;$&quot;* #,##0.00_-;\-&quot;$&quot;* #,##0.00_-;_-&quot;$&quot;* &quot;-&quot;??_-;_-@"/>
    <numFmt numFmtId="165" formatCode="_-&quot;$&quot;* #,##0_-;\-&quot;$&quot;* #,##0_-;_-&quot;$&quot;* &quot;-&quot;??_-;_-@"/>
    <numFmt numFmtId="166" formatCode="[$$-1009]#,##0.00"/>
    <numFmt numFmtId="167" formatCode="&quot;$&quot;#,##0_);[Red]\(&quot;$&quot;#,##0\)"/>
    <numFmt numFmtId="168" formatCode="_(* #,##0_);_(* \(#,##0\);_(* &quot;-&quot;??_);_(@_)"/>
    <numFmt numFmtId="169" formatCode="_(&quot;$&quot;* #,##0.00_);_(&quot;$&quot;* \(#,##0.00\);_(&quot;$&quot;* &quot;-&quot;??_);_(@_)"/>
    <numFmt numFmtId="170" formatCode="_(* #,##0.00_);_(* \(#,##0.00\);_(* &quot;-&quot;??_);_(@_)"/>
    <numFmt numFmtId="171" formatCode="_-&quot;$&quot;* #,##0.00_-;\-&quot;$&quot;* #,##0.00_-;_-&quot;$&quot;* &quot;-&quot;??_-;_-@_-"/>
    <numFmt numFmtId="172" formatCode="_-&quot;£&quot;* #,##0_-;\-&quot;£&quot;* #,##0_-;_-&quot;£&quot;* &quot;-&quot;??_-;_-@_-"/>
    <numFmt numFmtId="173" formatCode="0.000"/>
  </numFmts>
  <fonts count="35">
    <font>
      <sz val="10"/>
      <color rgb="FF000000"/>
      <name val="Arial"/>
      <scheme val="minor"/>
    </font>
    <font>
      <sz val="11"/>
      <color theme="1"/>
      <name val="Arial"/>
      <family val="2"/>
      <scheme val="minor"/>
    </font>
    <font>
      <b/>
      <sz val="11"/>
      <color theme="1"/>
      <name val="Times New Roman"/>
    </font>
    <font>
      <b/>
      <sz val="11"/>
      <color rgb="FF275317"/>
      <name val="Times New Roman"/>
    </font>
    <font>
      <b/>
      <sz val="11"/>
      <color rgb="FF3A7D22"/>
      <name val="Times New Roman"/>
    </font>
    <font>
      <b/>
      <sz val="11"/>
      <color rgb="FF7030A0"/>
      <name val="Times New Roman"/>
    </font>
    <font>
      <sz val="11"/>
      <color theme="1"/>
      <name val="Aptos Narrow"/>
    </font>
    <font>
      <sz val="11"/>
      <color theme="1"/>
      <name val="Times New Roman"/>
    </font>
    <font>
      <b/>
      <sz val="14"/>
      <color theme="1"/>
      <name val="Times New Roman"/>
    </font>
    <font>
      <sz val="11"/>
      <color rgb="FFFF0000"/>
      <name val="Times New Roman"/>
    </font>
    <font>
      <sz val="26"/>
      <color theme="1"/>
      <name val="Aptos Narrow"/>
    </font>
    <font>
      <sz val="26"/>
      <color theme="1"/>
      <name val="Times New Roman"/>
    </font>
    <font>
      <sz val="11"/>
      <color rgb="FF000000"/>
      <name val="Times New Roman"/>
    </font>
    <font>
      <b/>
      <sz val="11"/>
      <color theme="0"/>
      <name val="&quot;Times New Roman&quot;"/>
    </font>
    <font>
      <b/>
      <sz val="11"/>
      <color rgb="FFFFFFFF"/>
      <name val="&quot;Times New Roman&quot;"/>
    </font>
    <font>
      <b/>
      <sz val="11"/>
      <color rgb="FFFF0000"/>
      <name val="&quot;Times New Roman&quot;"/>
    </font>
    <font>
      <sz val="11"/>
      <color rgb="FFFF0000"/>
      <name val="&quot;Times New Roman&quot;"/>
    </font>
    <font>
      <sz val="11"/>
      <color rgb="FF000000"/>
      <name val="&quot;Times New Roman&quot;"/>
    </font>
    <font>
      <b/>
      <sz val="11"/>
      <color rgb="FF000000"/>
      <name val="&quot;Times New Roman&quot;"/>
    </font>
    <font>
      <b/>
      <sz val="11"/>
      <color rgb="FF4EA72E"/>
      <name val="&quot;Times New Roman&quot;"/>
    </font>
    <font>
      <sz val="11"/>
      <color rgb="FF4EA72E"/>
      <name val="&quot;Times New Roman&quot;"/>
    </font>
    <font>
      <b/>
      <sz val="11"/>
      <color rgb="FFBE5014"/>
      <name val="&quot;Times New Roman&quot;"/>
    </font>
    <font>
      <b/>
      <sz val="11"/>
      <color rgb="FFA02B93"/>
      <name val="&quot;Times New Roman&quot;"/>
    </font>
    <font>
      <b/>
      <sz val="11"/>
      <color rgb="FF0070C0"/>
      <name val="&quot;Times New Roman&quot;"/>
    </font>
    <font>
      <b/>
      <sz val="11"/>
      <color rgb="FF7030A0"/>
      <name val="&quot;Times New Roman&quot;"/>
    </font>
    <font>
      <b/>
      <sz val="11"/>
      <color rgb="FF275317"/>
      <name val="&quot;Times New Roman&quot;"/>
    </font>
    <font>
      <sz val="11"/>
      <color rgb="FF000000"/>
      <name val="&quot;Aptos Narrow&quot;"/>
    </font>
    <font>
      <b/>
      <sz val="11"/>
      <color rgb="FF8ED973"/>
      <name val="&quot;Times New Roman&quot;"/>
    </font>
    <font>
      <sz val="11"/>
      <color rgb="FF7030A0"/>
      <name val="&quot;Times New Roman&quot;"/>
    </font>
    <font>
      <sz val="11"/>
      <color rgb="FF7030A0"/>
      <name val="&quot;Aptos Narrow&quot;"/>
    </font>
    <font>
      <b/>
      <sz val="10"/>
      <color rgb="FF000000"/>
      <name val="Arial"/>
      <family val="2"/>
      <scheme val="minor"/>
    </font>
    <font>
      <sz val="10"/>
      <color rgb="FF000000"/>
      <name val="Arial"/>
      <family val="2"/>
      <scheme val="minor"/>
    </font>
    <font>
      <b/>
      <sz val="11"/>
      <color theme="1"/>
      <name val="Times New Roman"/>
      <family val="1"/>
    </font>
    <font>
      <sz val="10"/>
      <color rgb="FF000000"/>
      <name val="Arial"/>
      <scheme val="minor"/>
    </font>
    <font>
      <sz val="8"/>
      <name val="Arial"/>
      <scheme val="minor"/>
    </font>
  </fonts>
  <fills count="7">
    <fill>
      <patternFill patternType="none"/>
    </fill>
    <fill>
      <patternFill patternType="gray125"/>
    </fill>
    <fill>
      <patternFill patternType="solid">
        <fgColor rgb="FFE8E8E8"/>
        <bgColor rgb="FFE8E8E8"/>
      </patternFill>
    </fill>
    <fill>
      <patternFill patternType="solid">
        <fgColor rgb="FFFFFF00"/>
        <bgColor rgb="FFFFFF00"/>
      </patternFill>
    </fill>
    <fill>
      <patternFill patternType="solid">
        <fgColor rgb="FF00FF00"/>
        <bgColor rgb="FF00FF00"/>
      </patternFill>
    </fill>
    <fill>
      <patternFill patternType="solid">
        <fgColor rgb="FFDBE9F7"/>
        <bgColor rgb="FFDBE9F7"/>
      </patternFill>
    </fill>
    <fill>
      <patternFill patternType="solid">
        <fgColor rgb="FF7030A0"/>
        <bgColor rgb="FF7030A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0" fontId="0" fillId="0" borderId="0"/>
    <xf numFmtId="44" fontId="33" fillId="0" borderId="0" applyFont="0" applyFill="0" applyBorder="0" applyAlignment="0" applyProtection="0"/>
    <xf numFmtId="0" fontId="1" fillId="0" borderId="0"/>
    <xf numFmtId="171"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cellStyleXfs>
  <cellXfs count="76">
    <xf numFmtId="0" fontId="0" fillId="0" borderId="0" xfId="0"/>
    <xf numFmtId="0" fontId="2" fillId="2" borderId="1" xfId="0" applyFont="1" applyFill="1" applyBorder="1"/>
    <xf numFmtId="164" fontId="2" fillId="2" borderId="1" xfId="0" applyNumberFormat="1" applyFont="1" applyFill="1" applyBorder="1"/>
    <xf numFmtId="0" fontId="2" fillId="3" borderId="1" xfId="0" applyFont="1" applyFill="1" applyBorder="1"/>
    <xf numFmtId="0" fontId="2" fillId="4" borderId="1" xfId="0" applyFont="1" applyFill="1" applyBorder="1"/>
    <xf numFmtId="0" fontId="2" fillId="2" borderId="2" xfId="0" applyFont="1" applyFill="1" applyBorder="1"/>
    <xf numFmtId="10" fontId="2" fillId="3" borderId="1" xfId="0" applyNumberFormat="1" applyFont="1" applyFill="1" applyBorder="1"/>
    <xf numFmtId="0" fontId="2" fillId="2" borderId="3" xfId="0" applyFont="1" applyFill="1" applyBorder="1"/>
    <xf numFmtId="164" fontId="2" fillId="2" borderId="3" xfId="0" applyNumberFormat="1" applyFont="1" applyFill="1" applyBorder="1"/>
    <xf numFmtId="0" fontId="3" fillId="2" borderId="1" xfId="0" applyFont="1" applyFill="1" applyBorder="1"/>
    <xf numFmtId="0" fontId="4" fillId="2" borderId="2" xfId="0" applyFont="1" applyFill="1" applyBorder="1"/>
    <xf numFmtId="0" fontId="5" fillId="2" borderId="1" xfId="0" applyFont="1" applyFill="1" applyBorder="1"/>
    <xf numFmtId="0" fontId="6" fillId="0" borderId="1" xfId="0" applyFont="1" applyBorder="1"/>
    <xf numFmtId="0" fontId="7" fillId="0" borderId="1" xfId="0" applyFont="1" applyBorder="1"/>
    <xf numFmtId="165" fontId="7" fillId="0" borderId="1" xfId="0" applyNumberFormat="1" applyFont="1" applyBorder="1" applyAlignment="1">
      <alignment horizontal="right"/>
    </xf>
    <xf numFmtId="164" fontId="6" fillId="0" borderId="1" xfId="0" applyNumberFormat="1" applyFont="1" applyBorder="1"/>
    <xf numFmtId="0" fontId="6" fillId="3" borderId="1" xfId="0" applyFont="1" applyFill="1" applyBorder="1"/>
    <xf numFmtId="3" fontId="7" fillId="0" borderId="1" xfId="0" applyNumberFormat="1" applyFont="1" applyBorder="1" applyAlignment="1">
      <alignment horizontal="right"/>
    </xf>
    <xf numFmtId="166" fontId="7" fillId="0" borderId="1" xfId="0" applyNumberFormat="1" applyFont="1" applyBorder="1"/>
    <xf numFmtId="0" fontId="6" fillId="4" borderId="1" xfId="0" applyFont="1" applyFill="1" applyBorder="1"/>
    <xf numFmtId="167" fontId="7" fillId="0" borderId="1" xfId="0" applyNumberFormat="1" applyFont="1" applyBorder="1" applyAlignment="1">
      <alignment horizontal="right"/>
    </xf>
    <xf numFmtId="164" fontId="6" fillId="0" borderId="4" xfId="0" applyNumberFormat="1" applyFont="1" applyBorder="1"/>
    <xf numFmtId="0" fontId="6" fillId="0" borderId="4" xfId="0" applyFont="1" applyBorder="1"/>
    <xf numFmtId="10" fontId="6" fillId="3" borderId="1" xfId="0" applyNumberFormat="1" applyFont="1" applyFill="1" applyBorder="1"/>
    <xf numFmtId="0" fontId="6" fillId="0" borderId="5" xfId="0" applyFont="1" applyBorder="1"/>
    <xf numFmtId="164" fontId="6" fillId="0" borderId="5" xfId="0" applyNumberFormat="1" applyFont="1" applyBorder="1"/>
    <xf numFmtId="0" fontId="8" fillId="0" borderId="1" xfId="0" applyFont="1" applyBorder="1" applyAlignment="1">
      <alignment horizontal="right"/>
    </xf>
    <xf numFmtId="0" fontId="8" fillId="5" borderId="1" xfId="0" applyFont="1" applyFill="1" applyBorder="1"/>
    <xf numFmtId="168" fontId="7" fillId="0" borderId="1" xfId="0" applyNumberFormat="1" applyFont="1" applyBorder="1" applyAlignment="1">
      <alignment horizontal="right"/>
    </xf>
    <xf numFmtId="10" fontId="7" fillId="3" borderId="1" xfId="0" applyNumberFormat="1" applyFont="1" applyFill="1" applyBorder="1" applyAlignment="1">
      <alignment horizontal="right"/>
    </xf>
    <xf numFmtId="10" fontId="7" fillId="0" borderId="1" xfId="0" applyNumberFormat="1" applyFont="1" applyBorder="1" applyAlignment="1">
      <alignment horizontal="right"/>
    </xf>
    <xf numFmtId="164" fontId="7" fillId="0" borderId="1" xfId="0" applyNumberFormat="1" applyFont="1" applyBorder="1" applyAlignment="1">
      <alignment horizontal="right"/>
    </xf>
    <xf numFmtId="169" fontId="7" fillId="4" borderId="1" xfId="0" applyNumberFormat="1" applyFont="1" applyFill="1" applyBorder="1" applyAlignment="1">
      <alignment horizontal="right"/>
    </xf>
    <xf numFmtId="167" fontId="6" fillId="0" borderId="1" xfId="0" applyNumberFormat="1" applyFont="1" applyBorder="1"/>
    <xf numFmtId="165" fontId="9" fillId="0" borderId="4" xfId="0" applyNumberFormat="1" applyFont="1" applyBorder="1" applyAlignment="1">
      <alignment horizontal="right"/>
    </xf>
    <xf numFmtId="10" fontId="7" fillId="3" borderId="4" xfId="0" applyNumberFormat="1" applyFont="1" applyFill="1" applyBorder="1" applyAlignment="1">
      <alignment horizontal="right"/>
    </xf>
    <xf numFmtId="168" fontId="7" fillId="0" borderId="5" xfId="0" applyNumberFormat="1" applyFont="1" applyBorder="1" applyAlignment="1">
      <alignment horizontal="right"/>
    </xf>
    <xf numFmtId="170" fontId="7" fillId="0" borderId="5" xfId="0" applyNumberFormat="1" applyFont="1" applyBorder="1" applyAlignment="1">
      <alignment horizontal="right"/>
    </xf>
    <xf numFmtId="165" fontId="7" fillId="0" borderId="5" xfId="0" applyNumberFormat="1" applyFont="1" applyBorder="1" applyAlignment="1">
      <alignment horizontal="right"/>
    </xf>
    <xf numFmtId="170" fontId="7" fillId="0" borderId="1" xfId="0" applyNumberFormat="1" applyFont="1" applyBorder="1" applyAlignment="1">
      <alignment horizontal="right"/>
    </xf>
    <xf numFmtId="0" fontId="7" fillId="0" borderId="1" xfId="0" applyFont="1" applyBorder="1" applyAlignment="1">
      <alignment horizontal="right"/>
    </xf>
    <xf numFmtId="0" fontId="7" fillId="4" borderId="1" xfId="0" applyFont="1" applyFill="1" applyBorder="1" applyAlignment="1">
      <alignment horizontal="right"/>
    </xf>
    <xf numFmtId="169" fontId="7" fillId="0" borderId="1" xfId="0" applyNumberFormat="1" applyFont="1" applyBorder="1" applyAlignment="1">
      <alignment horizontal="right"/>
    </xf>
    <xf numFmtId="0" fontId="7" fillId="0" borderId="4" xfId="0" applyFont="1" applyBorder="1"/>
    <xf numFmtId="0" fontId="10" fillId="0" borderId="1" xfId="0" applyFont="1" applyBorder="1"/>
    <xf numFmtId="0" fontId="11" fillId="0" borderId="1" xfId="0" applyFont="1" applyBorder="1"/>
    <xf numFmtId="165" fontId="12" fillId="0" borderId="4" xfId="0" applyNumberFormat="1" applyFont="1" applyBorder="1" applyAlignment="1">
      <alignment horizontal="right"/>
    </xf>
    <xf numFmtId="0" fontId="13" fillId="6" borderId="1" xfId="0" applyFont="1" applyFill="1" applyBorder="1" applyAlignment="1">
      <alignment horizontal="center"/>
    </xf>
    <xf numFmtId="0" fontId="14" fillId="6" borderId="1" xfId="0" applyFont="1" applyFill="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7" fillId="0" borderId="1" xfId="0" applyFont="1" applyBorder="1" applyAlignment="1">
      <alignment horizontal="center"/>
    </xf>
    <xf numFmtId="0" fontId="18" fillId="0" borderId="1" xfId="0" applyFont="1" applyBorder="1" applyAlignment="1">
      <alignment horizontal="center"/>
    </xf>
    <xf numFmtId="0" fontId="19" fillId="0" borderId="1" xfId="0" applyFont="1" applyBorder="1" applyAlignment="1">
      <alignment horizontal="center"/>
    </xf>
    <xf numFmtId="0" fontId="20" fillId="0" borderId="1" xfId="0" applyFont="1" applyBorder="1" applyAlignment="1">
      <alignment horizontal="center"/>
    </xf>
    <xf numFmtId="0" fontId="21" fillId="0" borderId="1" xfId="0" applyFont="1" applyBorder="1"/>
    <xf numFmtId="0" fontId="18" fillId="0" borderId="1" xfId="0" applyFont="1" applyBorder="1"/>
    <xf numFmtId="0" fontId="21" fillId="0" borderId="1" xfId="0" applyFont="1" applyBorder="1" applyAlignment="1">
      <alignment horizontal="left"/>
    </xf>
    <xf numFmtId="0" fontId="22" fillId="0" borderId="1" xfId="0" applyFont="1" applyBorder="1"/>
    <xf numFmtId="0" fontId="22" fillId="0" borderId="1" xfId="0" applyFont="1" applyBorder="1" applyAlignment="1">
      <alignment horizontal="left"/>
    </xf>
    <xf numFmtId="0" fontId="23" fillId="0" borderId="1" xfId="0" applyFont="1" applyBorder="1"/>
    <xf numFmtId="0" fontId="23" fillId="0" borderId="1" xfId="0" applyFont="1" applyBorder="1" applyAlignment="1">
      <alignment horizontal="left"/>
    </xf>
    <xf numFmtId="0" fontId="19" fillId="0" borderId="1" xfId="0" applyFont="1" applyBorder="1"/>
    <xf numFmtId="0" fontId="19" fillId="0" borderId="1" xfId="0" applyFont="1" applyBorder="1" applyAlignment="1">
      <alignment horizontal="left"/>
    </xf>
    <xf numFmtId="0" fontId="24" fillId="0" borderId="1" xfId="0" applyFont="1" applyBorder="1"/>
    <xf numFmtId="0" fontId="24" fillId="0" borderId="1" xfId="0" applyFont="1" applyBorder="1" applyAlignment="1">
      <alignment horizontal="left"/>
    </xf>
    <xf numFmtId="0" fontId="25" fillId="0" borderId="1" xfId="0" applyFont="1" applyBorder="1"/>
    <xf numFmtId="0" fontId="26" fillId="0" borderId="1" xfId="0" applyFont="1" applyBorder="1"/>
    <xf numFmtId="0" fontId="27" fillId="0" borderId="1" xfId="0" applyFont="1" applyBorder="1"/>
    <xf numFmtId="0" fontId="28" fillId="0" borderId="1" xfId="0" applyFont="1" applyBorder="1"/>
    <xf numFmtId="0" fontId="29" fillId="0" borderId="1" xfId="0" applyFont="1" applyBorder="1"/>
    <xf numFmtId="0" fontId="30" fillId="0" borderId="0" xfId="0" applyFont="1"/>
    <xf numFmtId="0" fontId="31" fillId="0" borderId="0" xfId="0" applyFont="1"/>
    <xf numFmtId="0" fontId="32" fillId="2" borderId="1" xfId="0" applyFont="1" applyFill="1" applyBorder="1"/>
    <xf numFmtId="172" fontId="7" fillId="0" borderId="1" xfId="1" applyNumberFormat="1" applyFont="1" applyBorder="1" applyAlignment="1">
      <alignment horizontal="right"/>
    </xf>
    <xf numFmtId="173" fontId="7" fillId="0" borderId="1" xfId="0" applyNumberFormat="1" applyFont="1" applyBorder="1" applyAlignment="1">
      <alignment horizontal="right"/>
    </xf>
  </cellXfs>
  <cellStyles count="7">
    <cellStyle name="Comma 2" xfId="6" xr:uid="{5534DD1F-40F6-40A1-B5F2-9CE9EFB2451C}"/>
    <cellStyle name="Comma 3" xfId="4" xr:uid="{7B91F6B1-5D0F-421A-871A-1D76B9268E5E}"/>
    <cellStyle name="Currency" xfId="1" builtinId="4"/>
    <cellStyle name="Currency 2" xfId="5" xr:uid="{2D4FF731-352A-4F59-AD48-89D450C7E640}"/>
    <cellStyle name="Currency 3" xfId="3" xr:uid="{CA088062-5636-406D-AADA-B402C2C3F9EC}"/>
    <cellStyle name="Normal" xfId="0" builtinId="0"/>
    <cellStyle name="Normal 2" xfId="2" xr:uid="{1BE2E928-2803-42E6-B364-FAB6485FFC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24"/>
  <sheetViews>
    <sheetView tabSelected="1" workbookViewId="0">
      <pane xSplit="2" ySplit="1" topLeftCell="V2" activePane="bottomRight" state="frozen"/>
      <selection pane="topRight" activeCell="C1" sqref="C1"/>
      <selection pane="bottomLeft" activeCell="A2" sqref="A2"/>
      <selection pane="bottomRight" activeCell="AA1" sqref="AA1"/>
    </sheetView>
  </sheetViews>
  <sheetFormatPr defaultColWidth="12.61328125" defaultRowHeight="15.75" customHeight="1"/>
  <cols>
    <col min="1" max="1" width="7" customWidth="1"/>
    <col min="2" max="2" width="24.84375" bestFit="1" customWidth="1"/>
    <col min="3" max="3" width="20.84375" customWidth="1"/>
    <col min="4" max="4" width="22.07421875" bestFit="1" customWidth="1"/>
    <col min="5" max="5" width="27.69140625" bestFit="1" customWidth="1"/>
    <col min="6" max="6" width="31.69140625" bestFit="1" customWidth="1"/>
    <col min="7" max="7" width="22.07421875" bestFit="1" customWidth="1"/>
    <col min="8" max="8" width="20" customWidth="1"/>
    <col min="9" max="9" width="37.15234375" customWidth="1"/>
    <col min="10" max="10" width="22.15234375" bestFit="1" customWidth="1"/>
    <col min="11" max="11" width="20.84375" bestFit="1" customWidth="1"/>
    <col min="12" max="12" width="19.53515625" bestFit="1" customWidth="1"/>
    <col min="13" max="13" width="15.84375" bestFit="1" customWidth="1"/>
    <col min="14" max="14" width="27.69140625" bestFit="1" customWidth="1"/>
    <col min="15" max="15" width="29.3828125" customWidth="1"/>
    <col min="16" max="16" width="30.4609375" bestFit="1" customWidth="1"/>
    <col min="17" max="17" width="30.4609375" customWidth="1"/>
    <col min="18" max="18" width="28.765625" customWidth="1"/>
    <col min="19" max="19" width="25.921875" bestFit="1" customWidth="1"/>
    <col min="20" max="20" width="22.921875" bestFit="1" customWidth="1"/>
    <col min="21" max="21" width="21.765625" customWidth="1"/>
    <col min="22" max="22" width="26.61328125" customWidth="1"/>
    <col min="23" max="23" width="23.765625" customWidth="1"/>
    <col min="24" max="24" width="21.4609375" customWidth="1"/>
    <col min="25" max="25" width="36.4609375" bestFit="1" customWidth="1"/>
    <col min="26" max="26" width="28.4609375" customWidth="1"/>
    <col min="27" max="27" width="22.61328125" customWidth="1"/>
    <col min="28" max="28" width="21.84375" customWidth="1"/>
    <col min="29" max="29" width="26.23046875" customWidth="1"/>
    <col min="30" max="30" width="27.3828125" customWidth="1"/>
    <col min="31" max="31" width="27.15234375" customWidth="1"/>
    <col min="32" max="32" width="28.15234375" customWidth="1"/>
    <col min="33" max="33" width="29.4609375" customWidth="1"/>
    <col min="34" max="34" width="30.4609375" customWidth="1"/>
    <col min="35" max="35" width="24.4609375" customWidth="1"/>
    <col min="36" max="36" width="14.15234375" customWidth="1"/>
    <col min="37" max="37" width="15.3828125" customWidth="1"/>
    <col min="38" max="38" width="29.765625" customWidth="1"/>
    <col min="39" max="39" width="38.69140625" bestFit="1" customWidth="1"/>
    <col min="40" max="40" width="36.4609375" customWidth="1"/>
    <col min="41" max="41" width="24.23046875" customWidth="1"/>
    <col min="42" max="42" width="235.23046875" customWidth="1"/>
  </cols>
  <sheetData>
    <row r="1" spans="1:42" ht="14.15">
      <c r="A1" s="1" t="s">
        <v>149</v>
      </c>
      <c r="B1" s="1" t="s">
        <v>0</v>
      </c>
      <c r="C1" s="73" t="s">
        <v>154</v>
      </c>
      <c r="D1" s="2" t="s">
        <v>1</v>
      </c>
      <c r="E1" s="1" t="s">
        <v>2</v>
      </c>
      <c r="F1" s="3" t="s">
        <v>3</v>
      </c>
      <c r="G1" s="1" t="s">
        <v>4</v>
      </c>
      <c r="H1" s="1" t="s">
        <v>5</v>
      </c>
      <c r="I1" s="1" t="s">
        <v>6</v>
      </c>
      <c r="J1" s="1" t="s">
        <v>7</v>
      </c>
      <c r="K1" s="1" t="s">
        <v>8</v>
      </c>
      <c r="L1" s="4" t="s">
        <v>9</v>
      </c>
      <c r="M1" s="1" t="s">
        <v>10</v>
      </c>
      <c r="N1" s="2" t="s">
        <v>11</v>
      </c>
      <c r="O1" s="2" t="s">
        <v>12</v>
      </c>
      <c r="P1" s="2" t="s">
        <v>13</v>
      </c>
      <c r="Q1" s="3" t="s">
        <v>14</v>
      </c>
      <c r="R1" s="1" t="s">
        <v>15</v>
      </c>
      <c r="S1" s="1" t="s">
        <v>16</v>
      </c>
      <c r="T1" s="2" t="s">
        <v>17</v>
      </c>
      <c r="U1" s="1" t="s">
        <v>18</v>
      </c>
      <c r="V1" s="1" t="s">
        <v>19</v>
      </c>
      <c r="W1" s="2" t="s">
        <v>20</v>
      </c>
      <c r="X1" s="5" t="s">
        <v>21</v>
      </c>
      <c r="Y1" s="2" t="s">
        <v>22</v>
      </c>
      <c r="Z1" s="6" t="s">
        <v>23</v>
      </c>
      <c r="AA1" s="7" t="s">
        <v>24</v>
      </c>
      <c r="AB1" s="7" t="s">
        <v>25</v>
      </c>
      <c r="AC1" s="8" t="s">
        <v>26</v>
      </c>
      <c r="AD1" s="3" t="s">
        <v>27</v>
      </c>
      <c r="AE1" s="2" t="s">
        <v>28</v>
      </c>
      <c r="AF1" s="3" t="s">
        <v>29</v>
      </c>
      <c r="AG1" s="2" t="s">
        <v>30</v>
      </c>
      <c r="AH1" s="3" t="s">
        <v>31</v>
      </c>
      <c r="AI1" s="1" t="s">
        <v>32</v>
      </c>
      <c r="AJ1" s="1" t="s">
        <v>33</v>
      </c>
      <c r="AK1" s="1" t="s">
        <v>34</v>
      </c>
      <c r="AL1" s="4" t="s">
        <v>35</v>
      </c>
      <c r="AM1" s="9" t="s">
        <v>36</v>
      </c>
      <c r="AN1" s="10" t="s">
        <v>37</v>
      </c>
      <c r="AO1" s="11" t="s">
        <v>38</v>
      </c>
      <c r="AP1" s="11" t="s">
        <v>39</v>
      </c>
    </row>
    <row r="2" spans="1:42" ht="15.75" customHeight="1">
      <c r="A2" s="12"/>
      <c r="B2" s="13" t="s">
        <v>40</v>
      </c>
      <c r="C2" s="14">
        <v>113795678000000</v>
      </c>
      <c r="D2" s="15"/>
      <c r="E2" s="12"/>
      <c r="F2" s="16"/>
      <c r="G2" s="17">
        <v>8184000000</v>
      </c>
      <c r="H2" s="12"/>
      <c r="I2" s="12"/>
      <c r="J2" s="18">
        <f>C2/G2</f>
        <v>13904.652737047898</v>
      </c>
      <c r="K2" s="12"/>
      <c r="L2" s="19"/>
      <c r="M2" s="12"/>
      <c r="N2" s="15"/>
      <c r="O2" s="15"/>
      <c r="P2" s="15"/>
      <c r="Q2" s="16"/>
      <c r="R2" s="12"/>
      <c r="S2" s="20">
        <v>62059000000000</v>
      </c>
      <c r="T2" s="15"/>
      <c r="U2" s="12"/>
      <c r="V2" s="12"/>
      <c r="W2" s="21"/>
      <c r="X2" s="22"/>
      <c r="Y2" s="15"/>
      <c r="Z2" s="23"/>
      <c r="AA2" s="24"/>
      <c r="AB2" s="24"/>
      <c r="AC2" s="25"/>
      <c r="AD2" s="16"/>
      <c r="AE2" s="15"/>
      <c r="AF2" s="16"/>
      <c r="AG2" s="15"/>
      <c r="AH2" s="16"/>
      <c r="AI2" s="12"/>
      <c r="AJ2" s="12"/>
      <c r="AK2" s="12"/>
      <c r="AL2" s="19"/>
      <c r="AM2" s="12"/>
      <c r="AN2" s="22"/>
      <c r="AO2" s="12"/>
      <c r="AP2" s="12"/>
    </row>
    <row r="3" spans="1:42" ht="34.75">
      <c r="A3" s="26">
        <v>1</v>
      </c>
      <c r="B3" s="27" t="s">
        <v>41</v>
      </c>
      <c r="C3" s="15"/>
      <c r="D3" s="14">
        <v>30507217000000</v>
      </c>
      <c r="E3" s="28">
        <v>1</v>
      </c>
      <c r="F3" s="29">
        <f t="shared" ref="F3:F21" si="0">D3/$C$2</f>
        <v>0.26808765970883358</v>
      </c>
      <c r="G3" s="12"/>
      <c r="H3" s="17">
        <v>338000000</v>
      </c>
      <c r="I3" s="30">
        <f t="shared" ref="I3:I21" si="1">H3/$G$2</f>
        <v>4.1300097751710653E-2</v>
      </c>
      <c r="J3" s="31">
        <f t="shared" ref="J3:J21" si="2">D3/H3</f>
        <v>90258.038461538468</v>
      </c>
      <c r="K3" s="30">
        <v>2.35E-2</v>
      </c>
      <c r="L3" s="32">
        <f t="shared" ref="L3:L21" si="3">J3-J3*K3</f>
        <v>88136.974557692316</v>
      </c>
      <c r="M3" s="30">
        <v>4.4999999999999998E-2</v>
      </c>
      <c r="N3" s="14">
        <v>36200000000000</v>
      </c>
      <c r="O3" s="14">
        <f t="shared" ref="O3:O21" si="4">N3*M3</f>
        <v>1629000000000</v>
      </c>
      <c r="P3" s="14">
        <f t="shared" ref="P3:P21" si="5">N3+O3</f>
        <v>37829000000000</v>
      </c>
      <c r="Q3" s="29">
        <f t="shared" ref="Q3:Q21" si="6">O3/D3</f>
        <v>5.3397201062292898E-2</v>
      </c>
      <c r="R3" s="30">
        <f t="shared" ref="R3:R21" si="7">P3/D3</f>
        <v>1.2400016691132463</v>
      </c>
      <c r="S3" s="33"/>
      <c r="T3" s="14">
        <v>6786000000000</v>
      </c>
      <c r="U3" s="30">
        <f t="shared" ref="U3:U21" si="8">T3/$S$2</f>
        <v>0.10934755635765965</v>
      </c>
      <c r="V3" s="30">
        <f t="shared" ref="V3:V21" si="9">T3/D3</f>
        <v>0.22243916906612624</v>
      </c>
      <c r="W3" s="34">
        <v>-1000000000000</v>
      </c>
      <c r="X3" s="35">
        <f t="shared" ref="X3:X21" si="10">W3/D3</f>
        <v>-3.2779128951683792E-2</v>
      </c>
      <c r="Y3" s="14">
        <v>4911662000000</v>
      </c>
      <c r="Z3" s="29">
        <f t="shared" ref="Z3:Z21" si="11">Y3/D3</f>
        <v>0.16100000206508513</v>
      </c>
      <c r="AA3" s="36">
        <v>141000000</v>
      </c>
      <c r="AB3" s="37">
        <f t="shared" ref="AB3:AB21" si="12">AA3/H3</f>
        <v>0.41715976331360949</v>
      </c>
      <c r="AC3" s="38">
        <v>5369270000000</v>
      </c>
      <c r="AD3" s="29">
        <f t="shared" ref="AD3:AD21" si="13">AC3/D3</f>
        <v>0.17599999370640723</v>
      </c>
      <c r="AE3" s="31">
        <v>2440577000000</v>
      </c>
      <c r="AF3" s="29">
        <f t="shared" ref="AF3:AF21" si="14">AE3/D3</f>
        <v>7.999998819951358E-2</v>
      </c>
      <c r="AG3" s="31">
        <v>1659593000000</v>
      </c>
      <c r="AH3" s="29">
        <f t="shared" ref="AH3:AH21" si="15">AG3/D3</f>
        <v>5.4400012954311759E-2</v>
      </c>
      <c r="AI3" s="39">
        <f t="shared" ref="AI3:AI21" si="16">(AH3+AF3+AD3+Z3+F3-Q3+X3)</f>
        <v>0.65331132662017455</v>
      </c>
      <c r="AJ3" s="40">
        <v>0.94799999999999995</v>
      </c>
      <c r="AK3" s="40">
        <v>0.42</v>
      </c>
      <c r="AL3" s="41">
        <f t="shared" ref="AL3:AL21" si="17">AJ3-AK3</f>
        <v>0.52800000000000002</v>
      </c>
      <c r="AM3" s="42">
        <f t="shared" ref="AM3:AM21" si="18">(L3)*(AL3)</f>
        <v>46536.322566461546</v>
      </c>
      <c r="AN3" s="43" t="s">
        <v>42</v>
      </c>
      <c r="AO3" s="44" t="s">
        <v>43</v>
      </c>
      <c r="AP3" s="13" t="s">
        <v>44</v>
      </c>
    </row>
    <row r="4" spans="1:42" ht="33.9">
      <c r="A4" s="26">
        <f>A3+1</f>
        <v>2</v>
      </c>
      <c r="B4" s="27" t="s">
        <v>45</v>
      </c>
      <c r="C4" s="15"/>
      <c r="D4" s="14">
        <v>4187017000000</v>
      </c>
      <c r="E4" s="28">
        <v>5</v>
      </c>
      <c r="F4" s="29">
        <f t="shared" si="0"/>
        <v>3.6794165416370206E-2</v>
      </c>
      <c r="G4" s="12"/>
      <c r="H4" s="17">
        <v>1425000000</v>
      </c>
      <c r="I4" s="30">
        <f t="shared" si="1"/>
        <v>0.17412023460410558</v>
      </c>
      <c r="J4" s="31">
        <f t="shared" si="2"/>
        <v>2938.2575438596491</v>
      </c>
      <c r="K4" s="30">
        <v>2.8199999999999999E-2</v>
      </c>
      <c r="L4" s="32">
        <f t="shared" si="3"/>
        <v>2855.3986811228069</v>
      </c>
      <c r="M4" s="30">
        <v>5.5E-2</v>
      </c>
      <c r="N4" s="14">
        <v>3475224000000</v>
      </c>
      <c r="O4" s="14">
        <f t="shared" si="4"/>
        <v>191137320000</v>
      </c>
      <c r="P4" s="14">
        <f t="shared" si="5"/>
        <v>3666361320000</v>
      </c>
      <c r="Q4" s="29">
        <f t="shared" si="6"/>
        <v>4.564999855505722E-2</v>
      </c>
      <c r="R4" s="30">
        <f t="shared" si="7"/>
        <v>0.87564997228337027</v>
      </c>
      <c r="S4" s="33"/>
      <c r="T4" s="14">
        <v>1739000000000</v>
      </c>
      <c r="U4" s="30">
        <f t="shared" si="8"/>
        <v>2.8021721265247587E-2</v>
      </c>
      <c r="V4" s="30">
        <f t="shared" si="9"/>
        <v>0.41533148778712864</v>
      </c>
      <c r="W4" s="34">
        <v>-90000000000</v>
      </c>
      <c r="X4" s="35">
        <f t="shared" si="10"/>
        <v>-2.149501661923035E-2</v>
      </c>
      <c r="Y4" s="14">
        <v>334961000000</v>
      </c>
      <c r="Z4" s="29">
        <f t="shared" si="11"/>
        <v>7.9999914019933518E-2</v>
      </c>
      <c r="AA4" s="36">
        <v>301000000</v>
      </c>
      <c r="AB4" s="37">
        <f t="shared" si="12"/>
        <v>0.2112280701754386</v>
      </c>
      <c r="AC4" s="38">
        <v>104675000000</v>
      </c>
      <c r="AD4" s="29">
        <f t="shared" si="13"/>
        <v>2.4999898495754853E-2</v>
      </c>
      <c r="AE4" s="31">
        <v>209350000000</v>
      </c>
      <c r="AF4" s="29">
        <f t="shared" si="14"/>
        <v>4.9999796991509707E-2</v>
      </c>
      <c r="AG4" s="31">
        <v>192602000000</v>
      </c>
      <c r="AH4" s="29">
        <f t="shared" si="15"/>
        <v>4.5999813232188928E-2</v>
      </c>
      <c r="AI4" s="39">
        <f t="shared" si="16"/>
        <v>0.17064857298146963</v>
      </c>
      <c r="AJ4" s="40">
        <v>0.68500000000000005</v>
      </c>
      <c r="AK4" s="40">
        <v>0.32800000000000001</v>
      </c>
      <c r="AL4" s="41">
        <f t="shared" si="17"/>
        <v>0.35700000000000004</v>
      </c>
      <c r="AM4" s="42">
        <f t="shared" si="18"/>
        <v>1019.3773291608422</v>
      </c>
      <c r="AN4" s="43" t="s">
        <v>46</v>
      </c>
      <c r="AO4" s="45" t="s">
        <v>47</v>
      </c>
      <c r="AP4" s="13" t="s">
        <v>48</v>
      </c>
    </row>
    <row r="5" spans="1:42" ht="33.9">
      <c r="A5" s="26">
        <f>A4+1</f>
        <v>3</v>
      </c>
      <c r="B5" s="27" t="s">
        <v>49</v>
      </c>
      <c r="C5" s="15"/>
      <c r="D5" s="14">
        <v>1429743000000</v>
      </c>
      <c r="E5" s="28">
        <v>17</v>
      </c>
      <c r="F5" s="29">
        <f t="shared" si="0"/>
        <v>1.2564123920418137E-2</v>
      </c>
      <c r="G5" s="12"/>
      <c r="H5" s="17">
        <v>285000000</v>
      </c>
      <c r="I5" s="30">
        <f t="shared" si="1"/>
        <v>3.4824046920821111E-2</v>
      </c>
      <c r="J5" s="31">
        <f t="shared" si="2"/>
        <v>5016.6421052631576</v>
      </c>
      <c r="K5" s="30">
        <v>1.8700000000000001E-2</v>
      </c>
      <c r="L5" s="32">
        <f t="shared" si="3"/>
        <v>4922.8308978947362</v>
      </c>
      <c r="M5" s="30">
        <v>5.5E-2</v>
      </c>
      <c r="N5" s="14">
        <v>579045900000</v>
      </c>
      <c r="O5" s="14">
        <f t="shared" si="4"/>
        <v>31847524500</v>
      </c>
      <c r="P5" s="14">
        <f t="shared" si="5"/>
        <v>610893424500</v>
      </c>
      <c r="Q5" s="29">
        <f t="shared" si="6"/>
        <v>2.2274999422973219E-2</v>
      </c>
      <c r="R5" s="30">
        <f t="shared" si="7"/>
        <v>0.42727498893157723</v>
      </c>
      <c r="S5" s="12"/>
      <c r="T5" s="14">
        <v>566500000000</v>
      </c>
      <c r="U5" s="30">
        <f t="shared" si="8"/>
        <v>9.1284100613931909E-3</v>
      </c>
      <c r="V5" s="30">
        <f t="shared" si="9"/>
        <v>0.39622505583171241</v>
      </c>
      <c r="W5" s="46">
        <v>29900000000</v>
      </c>
      <c r="X5" s="35">
        <f t="shared" si="10"/>
        <v>2.0912849372229834E-2</v>
      </c>
      <c r="Y5" s="14">
        <v>257353700000</v>
      </c>
      <c r="Z5" s="29">
        <f t="shared" si="11"/>
        <v>0.17999997202294399</v>
      </c>
      <c r="AA5" s="36">
        <v>77300000</v>
      </c>
      <c r="AB5" s="37">
        <f t="shared" si="12"/>
        <v>0.2712280701754386</v>
      </c>
      <c r="AC5" s="38">
        <v>52900500000</v>
      </c>
      <c r="AD5" s="29">
        <f t="shared" si="13"/>
        <v>3.7000006294837601E-2</v>
      </c>
      <c r="AE5" s="31">
        <v>228758900000</v>
      </c>
      <c r="AF5" s="29">
        <f t="shared" si="14"/>
        <v>0.16000001398852801</v>
      </c>
      <c r="AG5" s="31">
        <v>57189700000</v>
      </c>
      <c r="AH5" s="29">
        <f t="shared" si="15"/>
        <v>3.9999986011471991E-2</v>
      </c>
      <c r="AI5" s="39">
        <f t="shared" si="16"/>
        <v>0.42820195218745627</v>
      </c>
      <c r="AJ5" s="40">
        <v>0.72799999999999998</v>
      </c>
      <c r="AK5" s="40">
        <v>0.379</v>
      </c>
      <c r="AL5" s="41">
        <f t="shared" si="17"/>
        <v>0.34899999999999998</v>
      </c>
      <c r="AM5" s="42">
        <f t="shared" si="18"/>
        <v>1718.0679833652628</v>
      </c>
      <c r="AN5" s="43" t="s">
        <v>46</v>
      </c>
      <c r="AO5" s="45" t="s">
        <v>50</v>
      </c>
      <c r="AP5" s="13" t="s">
        <v>51</v>
      </c>
    </row>
    <row r="6" spans="1:42" ht="33.9">
      <c r="A6" s="26">
        <f>A5+1</f>
        <v>4</v>
      </c>
      <c r="B6" s="27" t="s">
        <v>52</v>
      </c>
      <c r="C6" s="15"/>
      <c r="D6" s="14">
        <v>2126000000000</v>
      </c>
      <c r="E6" s="28">
        <v>8</v>
      </c>
      <c r="F6" s="29">
        <f t="shared" si="0"/>
        <v>1.8682607611863782E-2</v>
      </c>
      <c r="G6" s="12"/>
      <c r="H6" s="17">
        <v>212600000</v>
      </c>
      <c r="I6" s="30">
        <f t="shared" si="1"/>
        <v>2.5977517106549365E-2</v>
      </c>
      <c r="J6" s="31">
        <f t="shared" si="2"/>
        <v>10000</v>
      </c>
      <c r="K6" s="30">
        <v>4.3700000000000003E-2</v>
      </c>
      <c r="L6" s="32">
        <f t="shared" si="3"/>
        <v>9563</v>
      </c>
      <c r="M6" s="30">
        <v>0.15</v>
      </c>
      <c r="N6" s="14">
        <v>1855572800000</v>
      </c>
      <c r="O6" s="14">
        <f t="shared" si="4"/>
        <v>278335920000</v>
      </c>
      <c r="P6" s="14">
        <f t="shared" si="5"/>
        <v>2133908720000</v>
      </c>
      <c r="Q6" s="29">
        <f t="shared" si="6"/>
        <v>0.13092000000000001</v>
      </c>
      <c r="R6" s="30">
        <f t="shared" si="7"/>
        <v>1.0037199999999999</v>
      </c>
      <c r="S6" s="12"/>
      <c r="T6" s="14">
        <v>600000000000</v>
      </c>
      <c r="U6" s="30">
        <f t="shared" si="8"/>
        <v>9.6682189529318872E-3</v>
      </c>
      <c r="V6" s="30">
        <f t="shared" si="9"/>
        <v>0.28222013170272814</v>
      </c>
      <c r="W6" s="46">
        <v>74000000000</v>
      </c>
      <c r="X6" s="35">
        <f t="shared" si="10"/>
        <v>3.4807149576669805E-2</v>
      </c>
      <c r="Y6" s="14">
        <v>233860000000</v>
      </c>
      <c r="Z6" s="29">
        <f t="shared" si="11"/>
        <v>0.11</v>
      </c>
      <c r="AA6" s="36">
        <v>90700000</v>
      </c>
      <c r="AB6" s="37">
        <f t="shared" si="12"/>
        <v>0.42662276575729069</v>
      </c>
      <c r="AC6" s="38">
        <v>199844000000</v>
      </c>
      <c r="AD6" s="29">
        <f t="shared" si="13"/>
        <v>9.4E-2</v>
      </c>
      <c r="AE6" s="31">
        <v>218978000000</v>
      </c>
      <c r="AF6" s="29">
        <f t="shared" si="14"/>
        <v>0.10299999999999999</v>
      </c>
      <c r="AG6" s="31">
        <v>212600000000</v>
      </c>
      <c r="AH6" s="29">
        <f t="shared" si="15"/>
        <v>0.1</v>
      </c>
      <c r="AI6" s="39">
        <f t="shared" si="16"/>
        <v>0.3295697571885336</v>
      </c>
      <c r="AJ6" s="40">
        <v>0.78600000000000003</v>
      </c>
      <c r="AK6" s="40">
        <v>0.51600000000000001</v>
      </c>
      <c r="AL6" s="41">
        <f t="shared" si="17"/>
        <v>0.27</v>
      </c>
      <c r="AM6" s="42">
        <f t="shared" si="18"/>
        <v>2582.0100000000002</v>
      </c>
      <c r="AN6" s="43" t="s">
        <v>53</v>
      </c>
      <c r="AO6" s="45" t="s">
        <v>54</v>
      </c>
      <c r="AP6" s="13" t="s">
        <v>55</v>
      </c>
    </row>
    <row r="7" spans="1:42" ht="33.9">
      <c r="A7" s="26">
        <v>5</v>
      </c>
      <c r="B7" s="27" t="s">
        <v>56</v>
      </c>
      <c r="C7" s="15"/>
      <c r="D7" s="14">
        <v>1437000000000</v>
      </c>
      <c r="E7" s="28">
        <v>16</v>
      </c>
      <c r="F7" s="29">
        <f t="shared" si="0"/>
        <v>1.2627896113945557E-2</v>
      </c>
      <c r="G7" s="12"/>
      <c r="H7" s="17">
        <v>85700000</v>
      </c>
      <c r="I7" s="30">
        <f t="shared" si="1"/>
        <v>1.0471652003910068E-2</v>
      </c>
      <c r="J7" s="31">
        <f t="shared" si="2"/>
        <v>16767.794632438741</v>
      </c>
      <c r="K7" s="30">
        <v>0.37859999999999999</v>
      </c>
      <c r="L7" s="32">
        <f t="shared" si="3"/>
        <v>10419.507584597435</v>
      </c>
      <c r="M7" s="30">
        <v>0.46</v>
      </c>
      <c r="N7" s="14">
        <v>423915000000</v>
      </c>
      <c r="O7" s="14">
        <f t="shared" si="4"/>
        <v>195000900000</v>
      </c>
      <c r="P7" s="14">
        <f t="shared" si="5"/>
        <v>618915900000</v>
      </c>
      <c r="Q7" s="29">
        <f t="shared" si="6"/>
        <v>0.13569999999999999</v>
      </c>
      <c r="R7" s="30">
        <f t="shared" si="7"/>
        <v>0.43070000000000003</v>
      </c>
      <c r="S7" s="12"/>
      <c r="T7" s="14">
        <v>606000000000</v>
      </c>
      <c r="U7" s="30">
        <f t="shared" si="8"/>
        <v>9.7649011424612055E-3</v>
      </c>
      <c r="V7" s="30">
        <f t="shared" si="9"/>
        <v>0.42171189979123175</v>
      </c>
      <c r="W7" s="34">
        <v>-82000000000</v>
      </c>
      <c r="X7" s="35">
        <f t="shared" si="10"/>
        <v>-5.7063326374391092E-2</v>
      </c>
      <c r="Y7" s="14">
        <v>280215000000</v>
      </c>
      <c r="Z7" s="29">
        <f t="shared" si="11"/>
        <v>0.19500000000000001</v>
      </c>
      <c r="AA7" s="36">
        <v>25400000</v>
      </c>
      <c r="AB7" s="37">
        <f t="shared" si="12"/>
        <v>0.29638273045507585</v>
      </c>
      <c r="AC7" s="38">
        <v>67539000000</v>
      </c>
      <c r="AD7" s="29">
        <f t="shared" si="13"/>
        <v>4.7E-2</v>
      </c>
      <c r="AE7" s="31">
        <v>143700000000</v>
      </c>
      <c r="AF7" s="29">
        <f t="shared" si="14"/>
        <v>0.1</v>
      </c>
      <c r="AG7" s="31">
        <v>61791000000</v>
      </c>
      <c r="AH7" s="29">
        <f t="shared" si="15"/>
        <v>4.2999999999999997E-2</v>
      </c>
      <c r="AI7" s="39">
        <f t="shared" si="16"/>
        <v>0.20486456973955447</v>
      </c>
      <c r="AJ7" s="40">
        <v>0.85299999999999998</v>
      </c>
      <c r="AK7" s="40">
        <v>0.44400000000000001</v>
      </c>
      <c r="AL7" s="41">
        <f t="shared" si="17"/>
        <v>0.40899999999999997</v>
      </c>
      <c r="AM7" s="42">
        <f t="shared" si="18"/>
        <v>4261.5786021003505</v>
      </c>
      <c r="AN7" s="43" t="s">
        <v>53</v>
      </c>
      <c r="AO7" s="45" t="s">
        <v>57</v>
      </c>
      <c r="AP7" s="13" t="s">
        <v>58</v>
      </c>
    </row>
    <row r="8" spans="1:42" ht="33.9">
      <c r="A8" s="26">
        <f>A7+1</f>
        <v>6</v>
      </c>
      <c r="B8" s="27" t="s">
        <v>59</v>
      </c>
      <c r="C8" s="15"/>
      <c r="D8" s="14">
        <v>1693000000000</v>
      </c>
      <c r="E8" s="28">
        <v>15</v>
      </c>
      <c r="F8" s="29">
        <f t="shared" si="0"/>
        <v>1.4877542185741008E-2</v>
      </c>
      <c r="G8" s="12"/>
      <c r="H8" s="17">
        <v>132000000</v>
      </c>
      <c r="I8" s="30">
        <f t="shared" si="1"/>
        <v>1.6129032258064516E-2</v>
      </c>
      <c r="J8" s="31">
        <f t="shared" si="2"/>
        <v>12825.757575757576</v>
      </c>
      <c r="K8" s="30">
        <v>4.4199999999999996E-2</v>
      </c>
      <c r="L8" s="32">
        <f t="shared" si="3"/>
        <v>12258.859090909091</v>
      </c>
      <c r="M8" s="30">
        <v>0.08</v>
      </c>
      <c r="N8" s="14">
        <v>841421000000</v>
      </c>
      <c r="O8" s="14">
        <f t="shared" si="4"/>
        <v>67313680000</v>
      </c>
      <c r="P8" s="14">
        <f t="shared" si="5"/>
        <v>908734680000</v>
      </c>
      <c r="Q8" s="29">
        <f t="shared" si="6"/>
        <v>3.9759999999999997E-2</v>
      </c>
      <c r="R8" s="30">
        <f t="shared" si="7"/>
        <v>0.53676000000000001</v>
      </c>
      <c r="S8" s="12"/>
      <c r="T8" s="14">
        <v>1270000000000</v>
      </c>
      <c r="U8" s="30">
        <f t="shared" si="8"/>
        <v>2.0464396783705829E-2</v>
      </c>
      <c r="V8" s="30">
        <f t="shared" si="9"/>
        <v>0.75014766686355583</v>
      </c>
      <c r="W8" s="34">
        <v>-26600000000</v>
      </c>
      <c r="X8" s="35">
        <f t="shared" si="10"/>
        <v>-1.5711754282339042E-2</v>
      </c>
      <c r="Y8" s="14">
        <v>304740000000</v>
      </c>
      <c r="Z8" s="29">
        <f t="shared" si="11"/>
        <v>0.18</v>
      </c>
      <c r="AA8" s="36">
        <v>37000000</v>
      </c>
      <c r="AB8" s="37">
        <f t="shared" si="12"/>
        <v>0.28030303030303028</v>
      </c>
      <c r="AC8" s="38">
        <v>96501000000</v>
      </c>
      <c r="AD8" s="29">
        <f t="shared" si="13"/>
        <v>5.7000000000000002E-2</v>
      </c>
      <c r="AE8" s="31">
        <v>142212000000</v>
      </c>
      <c r="AF8" s="29">
        <f t="shared" si="14"/>
        <v>8.4000000000000005E-2</v>
      </c>
      <c r="AG8" s="31">
        <v>71106000000</v>
      </c>
      <c r="AH8" s="29">
        <f t="shared" si="15"/>
        <v>4.2000000000000003E-2</v>
      </c>
      <c r="AI8" s="39">
        <f t="shared" si="16"/>
        <v>0.32240578790340191</v>
      </c>
      <c r="AJ8" s="40">
        <v>0.78900000000000003</v>
      </c>
      <c r="AK8" s="40">
        <v>0.40200000000000002</v>
      </c>
      <c r="AL8" s="41">
        <f t="shared" si="17"/>
        <v>0.38700000000000001</v>
      </c>
      <c r="AM8" s="42">
        <f t="shared" si="18"/>
        <v>4744.1784681818181</v>
      </c>
      <c r="AN8" s="43" t="s">
        <v>53</v>
      </c>
      <c r="AO8" s="45" t="s">
        <v>60</v>
      </c>
      <c r="AP8" s="13" t="s">
        <v>61</v>
      </c>
    </row>
    <row r="9" spans="1:42" ht="33.9">
      <c r="A9" s="26">
        <f>A8+1</f>
        <v>7</v>
      </c>
      <c r="B9" s="27" t="s">
        <v>62</v>
      </c>
      <c r="C9" s="15"/>
      <c r="D9" s="14">
        <v>19232000000000</v>
      </c>
      <c r="E9" s="28">
        <v>2</v>
      </c>
      <c r="F9" s="29">
        <f t="shared" si="0"/>
        <v>0.16900466114363324</v>
      </c>
      <c r="G9" s="12"/>
      <c r="H9" s="17">
        <v>1408000000</v>
      </c>
      <c r="I9" s="30">
        <f t="shared" si="1"/>
        <v>0.17204301075268819</v>
      </c>
      <c r="J9" s="31">
        <f t="shared" si="2"/>
        <v>13659.09090909091</v>
      </c>
      <c r="K9" s="30">
        <v>1.5300000000000001E-2</v>
      </c>
      <c r="L9" s="32">
        <f t="shared" si="3"/>
        <v>13450.106818181819</v>
      </c>
      <c r="M9" s="30">
        <v>0.03</v>
      </c>
      <c r="N9" s="14">
        <v>15847168000000</v>
      </c>
      <c r="O9" s="14">
        <f t="shared" si="4"/>
        <v>475415040000</v>
      </c>
      <c r="P9" s="14">
        <f t="shared" si="5"/>
        <v>16322583040000</v>
      </c>
      <c r="Q9" s="29">
        <f t="shared" si="6"/>
        <v>2.4719999999999999E-2</v>
      </c>
      <c r="R9" s="30">
        <f t="shared" si="7"/>
        <v>0.84872000000000003</v>
      </c>
      <c r="S9" s="12"/>
      <c r="T9" s="14">
        <v>7138000000000</v>
      </c>
      <c r="U9" s="30">
        <f t="shared" si="8"/>
        <v>0.11501957814337968</v>
      </c>
      <c r="V9" s="30">
        <f t="shared" si="9"/>
        <v>0.3711522462562396</v>
      </c>
      <c r="W9" s="46">
        <v>1000000000000</v>
      </c>
      <c r="X9" s="35">
        <f t="shared" si="10"/>
        <v>5.1996672212978372E-2</v>
      </c>
      <c r="Y9" s="14">
        <v>6154240000000</v>
      </c>
      <c r="Z9" s="29">
        <f t="shared" si="11"/>
        <v>0.32</v>
      </c>
      <c r="AA9" s="36">
        <v>496800000</v>
      </c>
      <c r="AB9" s="37">
        <f t="shared" si="12"/>
        <v>0.35284090909090909</v>
      </c>
      <c r="AC9" s="38">
        <v>1346240000000</v>
      </c>
      <c r="AD9" s="29">
        <f t="shared" si="13"/>
        <v>7.0000000000000007E-2</v>
      </c>
      <c r="AE9" s="31">
        <v>1980896000000</v>
      </c>
      <c r="AF9" s="29">
        <f t="shared" si="14"/>
        <v>0.10299999999999999</v>
      </c>
      <c r="AG9" s="31">
        <v>769280000000</v>
      </c>
      <c r="AH9" s="29">
        <f t="shared" si="15"/>
        <v>0.04</v>
      </c>
      <c r="AI9" s="39">
        <f t="shared" si="16"/>
        <v>0.72928133335661161</v>
      </c>
      <c r="AJ9" s="40">
        <v>0.79700000000000004</v>
      </c>
      <c r="AK9" s="40">
        <v>0.35699999999999998</v>
      </c>
      <c r="AL9" s="41">
        <f t="shared" si="17"/>
        <v>0.44000000000000006</v>
      </c>
      <c r="AM9" s="42">
        <f t="shared" si="18"/>
        <v>5918.0470000000014</v>
      </c>
      <c r="AN9" s="43" t="s">
        <v>63</v>
      </c>
      <c r="AO9" s="45" t="s">
        <v>64</v>
      </c>
      <c r="AP9" s="13" t="s">
        <v>65</v>
      </c>
    </row>
    <row r="10" spans="1:42" ht="33.9">
      <c r="A10" s="26">
        <f>A9+1</f>
        <v>8</v>
      </c>
      <c r="B10" s="27" t="s">
        <v>66</v>
      </c>
      <c r="C10" s="15"/>
      <c r="D10" s="14">
        <v>2076000000000</v>
      </c>
      <c r="E10" s="28">
        <v>11</v>
      </c>
      <c r="F10" s="29">
        <f t="shared" si="0"/>
        <v>1.8243223613466232E-2</v>
      </c>
      <c r="G10" s="12"/>
      <c r="H10" s="17">
        <v>146300000</v>
      </c>
      <c r="I10" s="30">
        <f t="shared" si="1"/>
        <v>1.7876344086021505E-2</v>
      </c>
      <c r="J10" s="31">
        <f t="shared" si="2"/>
        <v>14190.02050580998</v>
      </c>
      <c r="K10" s="30">
        <v>7.9000000000000001E-2</v>
      </c>
      <c r="L10" s="32">
        <f t="shared" si="3"/>
        <v>13069.008885850992</v>
      </c>
      <c r="M10" s="30">
        <v>0.19</v>
      </c>
      <c r="N10" s="14">
        <v>394440000000</v>
      </c>
      <c r="O10" s="14">
        <f t="shared" si="4"/>
        <v>74943600000</v>
      </c>
      <c r="P10" s="14">
        <f t="shared" si="5"/>
        <v>469383600000</v>
      </c>
      <c r="Q10" s="29">
        <f t="shared" si="6"/>
        <v>3.61E-2</v>
      </c>
      <c r="R10" s="30">
        <f t="shared" si="7"/>
        <v>0.2261</v>
      </c>
      <c r="S10" s="12"/>
      <c r="T10" s="14">
        <v>903000000000</v>
      </c>
      <c r="U10" s="30">
        <f t="shared" si="8"/>
        <v>1.455066952416249E-2</v>
      </c>
      <c r="V10" s="30">
        <f t="shared" si="9"/>
        <v>0.43497109826589597</v>
      </c>
      <c r="W10" s="46">
        <v>86430000000</v>
      </c>
      <c r="X10" s="35">
        <f t="shared" si="10"/>
        <v>4.1632947976878609E-2</v>
      </c>
      <c r="Y10" s="14">
        <v>373680000000</v>
      </c>
      <c r="Z10" s="29">
        <f t="shared" si="11"/>
        <v>0.18</v>
      </c>
      <c r="AA10" s="36">
        <v>58500000</v>
      </c>
      <c r="AB10" s="37">
        <f t="shared" si="12"/>
        <v>0.3998632946001367</v>
      </c>
      <c r="AC10" s="38">
        <v>145320000000</v>
      </c>
      <c r="AD10" s="29">
        <f t="shared" si="13"/>
        <v>7.0000000000000007E-2</v>
      </c>
      <c r="AE10" s="31">
        <v>415200000000</v>
      </c>
      <c r="AF10" s="29">
        <f t="shared" si="14"/>
        <v>0.2</v>
      </c>
      <c r="AG10" s="31">
        <v>83040000000</v>
      </c>
      <c r="AH10" s="29">
        <f t="shared" si="15"/>
        <v>0.04</v>
      </c>
      <c r="AI10" s="39">
        <f t="shared" si="16"/>
        <v>0.51377617159034483</v>
      </c>
      <c r="AJ10" s="40">
        <v>0.83199999999999996</v>
      </c>
      <c r="AK10" s="40">
        <v>0.36</v>
      </c>
      <c r="AL10" s="41">
        <f t="shared" si="17"/>
        <v>0.47199999999999998</v>
      </c>
      <c r="AM10" s="42">
        <f t="shared" si="18"/>
        <v>6168.572194121668</v>
      </c>
      <c r="AN10" s="43" t="s">
        <v>63</v>
      </c>
      <c r="AO10" s="45" t="s">
        <v>67</v>
      </c>
      <c r="AP10" s="13" t="s">
        <v>68</v>
      </c>
    </row>
    <row r="11" spans="1:42" ht="33.9">
      <c r="A11" s="26">
        <v>9</v>
      </c>
      <c r="B11" s="27" t="s">
        <v>69</v>
      </c>
      <c r="C11" s="15"/>
      <c r="D11" s="14">
        <v>1084000000000</v>
      </c>
      <c r="E11" s="28">
        <v>19</v>
      </c>
      <c r="F11" s="29">
        <f t="shared" si="0"/>
        <v>9.5258450852588623E-3</v>
      </c>
      <c r="G11" s="12"/>
      <c r="H11" s="17">
        <v>32200000.000000004</v>
      </c>
      <c r="I11" s="30">
        <f t="shared" si="1"/>
        <v>3.9345063538611929E-3</v>
      </c>
      <c r="J11" s="31">
        <f t="shared" si="2"/>
        <v>33664.596273291922</v>
      </c>
      <c r="K11" s="30">
        <v>1.9E-2</v>
      </c>
      <c r="L11" s="32">
        <f t="shared" si="3"/>
        <v>33024.968944099375</v>
      </c>
      <c r="M11" s="30">
        <v>4.4999999999999998E-2</v>
      </c>
      <c r="N11" s="14">
        <v>324116000000</v>
      </c>
      <c r="O11" s="14">
        <f t="shared" si="4"/>
        <v>14585220000</v>
      </c>
      <c r="P11" s="14">
        <f t="shared" si="5"/>
        <v>338701220000</v>
      </c>
      <c r="Q11" s="29">
        <f t="shared" si="6"/>
        <v>1.3455E-2</v>
      </c>
      <c r="R11" s="30">
        <f t="shared" si="7"/>
        <v>0.31245499999999998</v>
      </c>
      <c r="S11" s="12"/>
      <c r="T11" s="14">
        <v>663000000000</v>
      </c>
      <c r="U11" s="30">
        <f t="shared" si="8"/>
        <v>1.0683381942989735E-2</v>
      </c>
      <c r="V11" s="30">
        <f t="shared" si="9"/>
        <v>0.61162361623616235</v>
      </c>
      <c r="W11" s="46">
        <v>79000000000</v>
      </c>
      <c r="X11" s="35">
        <f t="shared" si="10"/>
        <v>7.2878228782287821E-2</v>
      </c>
      <c r="Y11" s="14">
        <v>130080000000</v>
      </c>
      <c r="Z11" s="29">
        <f t="shared" si="11"/>
        <v>0.12</v>
      </c>
      <c r="AA11" s="36">
        <v>6500000</v>
      </c>
      <c r="AB11" s="37">
        <f t="shared" si="12"/>
        <v>0.20186335403726705</v>
      </c>
      <c r="AC11" s="38">
        <v>280756000000</v>
      </c>
      <c r="AD11" s="29">
        <f t="shared" si="13"/>
        <v>0.25900000000000001</v>
      </c>
      <c r="AE11" s="31">
        <v>241732000000</v>
      </c>
      <c r="AF11" s="29">
        <f t="shared" si="14"/>
        <v>0.223</v>
      </c>
      <c r="AG11" s="31">
        <v>95392000000</v>
      </c>
      <c r="AH11" s="29">
        <f t="shared" si="15"/>
        <v>8.7999999999999995E-2</v>
      </c>
      <c r="AI11" s="39">
        <f t="shared" si="16"/>
        <v>0.75894907386754673</v>
      </c>
      <c r="AJ11" s="40">
        <v>0.9</v>
      </c>
      <c r="AK11" s="40">
        <v>0.45900000000000002</v>
      </c>
      <c r="AL11" s="41">
        <f t="shared" si="17"/>
        <v>0.441</v>
      </c>
      <c r="AM11" s="42">
        <f t="shared" si="18"/>
        <v>14564.011304347825</v>
      </c>
      <c r="AN11" s="43" t="s">
        <v>70</v>
      </c>
      <c r="AO11" s="45" t="s">
        <v>71</v>
      </c>
      <c r="AP11" s="13" t="s">
        <v>72</v>
      </c>
    </row>
    <row r="12" spans="1:42" ht="33.9">
      <c r="A12" s="26">
        <f>A11+1</f>
        <v>10</v>
      </c>
      <c r="B12" s="27" t="s">
        <v>73</v>
      </c>
      <c r="C12" s="15"/>
      <c r="D12" s="14">
        <v>1790000000000</v>
      </c>
      <c r="E12" s="28">
        <v>12</v>
      </c>
      <c r="F12" s="29">
        <f t="shared" si="0"/>
        <v>1.5729947142632254E-2</v>
      </c>
      <c r="G12" s="12"/>
      <c r="H12" s="17">
        <v>52100000</v>
      </c>
      <c r="I12" s="30">
        <f t="shared" si="1"/>
        <v>6.3660801564027368E-3</v>
      </c>
      <c r="J12" s="31">
        <f t="shared" si="2"/>
        <v>34357.005758157393</v>
      </c>
      <c r="K12" s="30">
        <v>2.3E-2</v>
      </c>
      <c r="L12" s="32">
        <f t="shared" si="3"/>
        <v>33566.794625719776</v>
      </c>
      <c r="M12" s="30">
        <v>2.75E-2</v>
      </c>
      <c r="N12" s="14">
        <v>976266000000</v>
      </c>
      <c r="O12" s="14">
        <f t="shared" si="4"/>
        <v>26847315000</v>
      </c>
      <c r="P12" s="14">
        <f t="shared" si="5"/>
        <v>1003113315000</v>
      </c>
      <c r="Q12" s="29">
        <f t="shared" si="6"/>
        <v>1.49985E-2</v>
      </c>
      <c r="R12" s="30">
        <f t="shared" si="7"/>
        <v>0.56039850000000002</v>
      </c>
      <c r="S12" s="12"/>
      <c r="T12" s="14">
        <v>1663000000000</v>
      </c>
      <c r="U12" s="30">
        <f t="shared" si="8"/>
        <v>2.6797080197876213E-2</v>
      </c>
      <c r="V12" s="30">
        <f t="shared" si="9"/>
        <v>0.92905027932960893</v>
      </c>
      <c r="W12" s="46">
        <v>51600000000</v>
      </c>
      <c r="X12" s="35">
        <f t="shared" si="10"/>
        <v>2.8826815642458099E-2</v>
      </c>
      <c r="Y12" s="14">
        <v>143200000000</v>
      </c>
      <c r="Z12" s="29">
        <f t="shared" si="11"/>
        <v>0.08</v>
      </c>
      <c r="AA12" s="36">
        <v>22600000</v>
      </c>
      <c r="AB12" s="37">
        <f t="shared" si="12"/>
        <v>0.43378119001919385</v>
      </c>
      <c r="AC12" s="38">
        <v>173630000000</v>
      </c>
      <c r="AD12" s="29">
        <f t="shared" si="13"/>
        <v>9.7000000000000003E-2</v>
      </c>
      <c r="AE12" s="31">
        <v>184370000000</v>
      </c>
      <c r="AF12" s="29">
        <f t="shared" si="14"/>
        <v>0.10299999999999999</v>
      </c>
      <c r="AG12" s="31">
        <v>93080000000</v>
      </c>
      <c r="AH12" s="29">
        <f t="shared" si="15"/>
        <v>5.1999999999999998E-2</v>
      </c>
      <c r="AI12" s="39">
        <f t="shared" si="16"/>
        <v>0.36155826278509035</v>
      </c>
      <c r="AJ12" s="40">
        <v>0.93700000000000006</v>
      </c>
      <c r="AK12" s="40">
        <v>0.33300000000000002</v>
      </c>
      <c r="AL12" s="41">
        <f t="shared" si="17"/>
        <v>0.60400000000000009</v>
      </c>
      <c r="AM12" s="42">
        <f t="shared" si="18"/>
        <v>20274.343953934749</v>
      </c>
      <c r="AN12" s="43" t="s">
        <v>74</v>
      </c>
      <c r="AO12" s="45" t="s">
        <v>75</v>
      </c>
      <c r="AP12" s="13" t="s">
        <v>76</v>
      </c>
    </row>
    <row r="13" spans="1:42" ht="33.9">
      <c r="A13" s="26">
        <v>11</v>
      </c>
      <c r="B13" s="27" t="s">
        <v>77</v>
      </c>
      <c r="C13" s="15"/>
      <c r="D13" s="14">
        <f>4186000000000</f>
        <v>4186000000000</v>
      </c>
      <c r="E13" s="28">
        <v>5</v>
      </c>
      <c r="F13" s="29">
        <f t="shared" si="0"/>
        <v>3.6785228345842802E-2</v>
      </c>
      <c r="G13" s="12"/>
      <c r="H13" s="17">
        <v>123400000</v>
      </c>
      <c r="I13" s="30">
        <f t="shared" si="1"/>
        <v>1.5078201368523949E-2</v>
      </c>
      <c r="J13" s="31">
        <f t="shared" si="2"/>
        <v>33922.204213938414</v>
      </c>
      <c r="K13" s="30">
        <v>1.7000000000000001E-2</v>
      </c>
      <c r="L13" s="32">
        <f t="shared" si="3"/>
        <v>33345.526742301459</v>
      </c>
      <c r="M13" s="30">
        <v>2.75E-2</v>
      </c>
      <c r="N13" s="14">
        <f>10255700000000</f>
        <v>10255700000000</v>
      </c>
      <c r="O13" s="14">
        <f t="shared" si="4"/>
        <v>282031750000</v>
      </c>
      <c r="P13" s="14">
        <f t="shared" si="5"/>
        <v>10537731750000</v>
      </c>
      <c r="Q13" s="29">
        <f t="shared" si="6"/>
        <v>6.7375000000000004E-2</v>
      </c>
      <c r="R13" s="30">
        <f t="shared" si="7"/>
        <v>2.5173749999999999</v>
      </c>
      <c r="S13" s="12"/>
      <c r="T13" s="14">
        <f>1385000000000</f>
        <v>1385000000000</v>
      </c>
      <c r="U13" s="30">
        <f t="shared" si="8"/>
        <v>2.2317472083017775E-2</v>
      </c>
      <c r="V13" s="30">
        <f t="shared" si="9"/>
        <v>0.33086478738652653</v>
      </c>
      <c r="W13" s="34">
        <v>-8000000000</v>
      </c>
      <c r="X13" s="35">
        <f t="shared" si="10"/>
        <v>-1.9111323459149545E-3</v>
      </c>
      <c r="Y13" s="14">
        <f>460460000000</f>
        <v>460460000000</v>
      </c>
      <c r="Z13" s="29">
        <f t="shared" si="11"/>
        <v>0.11</v>
      </c>
      <c r="AA13" s="36">
        <v>65100000</v>
      </c>
      <c r="AB13" s="37">
        <f t="shared" si="12"/>
        <v>0.52755267423014585</v>
      </c>
      <c r="AC13" s="38">
        <f>502320000000</f>
        <v>502320000000</v>
      </c>
      <c r="AD13" s="29">
        <f t="shared" si="13"/>
        <v>0.12</v>
      </c>
      <c r="AE13" s="31">
        <v>431158000000</v>
      </c>
      <c r="AF13" s="29">
        <f t="shared" si="14"/>
        <v>0.10299999999999999</v>
      </c>
      <c r="AG13" s="31">
        <f>221858000000</f>
        <v>221858000000</v>
      </c>
      <c r="AH13" s="29">
        <f t="shared" si="15"/>
        <v>5.2999999999999999E-2</v>
      </c>
      <c r="AI13" s="39">
        <f t="shared" si="16"/>
        <v>0.35349909599992785</v>
      </c>
      <c r="AJ13" s="40">
        <v>0.93899999999999995</v>
      </c>
      <c r="AK13" s="40">
        <v>0.29199999999999998</v>
      </c>
      <c r="AL13" s="41">
        <f t="shared" si="17"/>
        <v>0.64700000000000002</v>
      </c>
      <c r="AM13" s="42">
        <f t="shared" si="18"/>
        <v>21574.555802269046</v>
      </c>
      <c r="AN13" s="43" t="s">
        <v>74</v>
      </c>
      <c r="AO13" s="45" t="s">
        <v>177</v>
      </c>
      <c r="AP13" s="13" t="s">
        <v>78</v>
      </c>
    </row>
    <row r="14" spans="1:42" ht="33.9">
      <c r="A14" s="26">
        <f>A13+1</f>
        <v>12</v>
      </c>
      <c r="B14" s="27" t="s">
        <v>79</v>
      </c>
      <c r="C14" s="15"/>
      <c r="D14" s="14">
        <v>1800000000000</v>
      </c>
      <c r="E14" s="28">
        <v>12</v>
      </c>
      <c r="F14" s="29">
        <f t="shared" si="0"/>
        <v>1.5817823942311765E-2</v>
      </c>
      <c r="G14" s="12"/>
      <c r="H14" s="17">
        <v>49200000</v>
      </c>
      <c r="I14" s="30">
        <f t="shared" si="1"/>
        <v>6.0117302052785926E-3</v>
      </c>
      <c r="J14" s="31">
        <f t="shared" si="2"/>
        <v>36585.365853658535</v>
      </c>
      <c r="K14" s="30">
        <v>2.7699999999999999E-2</v>
      </c>
      <c r="L14" s="32">
        <f t="shared" si="3"/>
        <v>35571.951219512193</v>
      </c>
      <c r="M14" s="30">
        <v>2.1499999999999998E-2</v>
      </c>
      <c r="N14" s="14">
        <v>1879200000000</v>
      </c>
      <c r="O14" s="14">
        <f t="shared" si="4"/>
        <v>40402800000</v>
      </c>
      <c r="P14" s="14">
        <f t="shared" si="5"/>
        <v>1919602800000</v>
      </c>
      <c r="Q14" s="29">
        <f t="shared" si="6"/>
        <v>2.2446000000000001E-2</v>
      </c>
      <c r="R14" s="30">
        <f t="shared" si="7"/>
        <v>1.066446</v>
      </c>
      <c r="S14" s="12"/>
      <c r="T14" s="14">
        <v>1168000000000</v>
      </c>
      <c r="U14" s="30">
        <f t="shared" si="8"/>
        <v>1.8820799561707409E-2</v>
      </c>
      <c r="V14" s="30">
        <f t="shared" si="9"/>
        <v>0.64888888888888885</v>
      </c>
      <c r="W14" s="46">
        <v>64000000000</v>
      </c>
      <c r="X14" s="35">
        <f t="shared" si="10"/>
        <v>3.5555555555555556E-2</v>
      </c>
      <c r="Y14" s="14">
        <v>187200000000</v>
      </c>
      <c r="Z14" s="29">
        <f t="shared" si="11"/>
        <v>0.104</v>
      </c>
      <c r="AA14" s="36">
        <v>26900000</v>
      </c>
      <c r="AB14" s="37">
        <f t="shared" si="12"/>
        <v>0.5467479674796748</v>
      </c>
      <c r="AC14" s="38">
        <v>187200000000</v>
      </c>
      <c r="AD14" s="29">
        <f t="shared" si="13"/>
        <v>0.104</v>
      </c>
      <c r="AE14" s="31">
        <v>352800000000</v>
      </c>
      <c r="AF14" s="29">
        <f t="shared" si="14"/>
        <v>0.19600000000000001</v>
      </c>
      <c r="AG14" s="31">
        <v>83160000000</v>
      </c>
      <c r="AH14" s="29">
        <f t="shared" si="15"/>
        <v>4.6199999999999998E-2</v>
      </c>
      <c r="AI14" s="39">
        <f t="shared" si="16"/>
        <v>0.47912737949786727</v>
      </c>
      <c r="AJ14" s="40">
        <v>0.91800000000000004</v>
      </c>
      <c r="AK14" s="40">
        <v>0.312</v>
      </c>
      <c r="AL14" s="41">
        <f t="shared" si="17"/>
        <v>0.60600000000000009</v>
      </c>
      <c r="AM14" s="42">
        <f t="shared" si="18"/>
        <v>21556.602439024391</v>
      </c>
      <c r="AN14" s="43" t="s">
        <v>74</v>
      </c>
      <c r="AO14" s="45" t="s">
        <v>80</v>
      </c>
      <c r="AP14" s="13" t="s">
        <v>81</v>
      </c>
    </row>
    <row r="15" spans="1:42" ht="33.9">
      <c r="A15" s="26">
        <v>13</v>
      </c>
      <c r="B15" s="27" t="s">
        <v>82</v>
      </c>
      <c r="C15" s="15"/>
      <c r="D15" s="14">
        <v>2423000000000</v>
      </c>
      <c r="E15" s="28">
        <v>8</v>
      </c>
      <c r="F15" s="29">
        <f t="shared" si="0"/>
        <v>2.1292548562345224E-2</v>
      </c>
      <c r="G15" s="12"/>
      <c r="H15" s="17">
        <v>58900000</v>
      </c>
      <c r="I15" s="30">
        <f t="shared" si="1"/>
        <v>7.1969696969696973E-3</v>
      </c>
      <c r="J15" s="31">
        <f t="shared" si="2"/>
        <v>41137.521222410869</v>
      </c>
      <c r="K15" s="30">
        <v>4.4999999999999998E-2</v>
      </c>
      <c r="L15" s="32">
        <f t="shared" si="3"/>
        <v>39286.332767402382</v>
      </c>
      <c r="M15" s="30">
        <v>2.8999999999999998E-2</v>
      </c>
      <c r="N15" s="14">
        <v>3278319000000</v>
      </c>
      <c r="O15" s="14">
        <f t="shared" si="4"/>
        <v>95071251000</v>
      </c>
      <c r="P15" s="14">
        <f t="shared" si="5"/>
        <v>3373390251000</v>
      </c>
      <c r="Q15" s="29">
        <f t="shared" si="6"/>
        <v>3.9237000000000001E-2</v>
      </c>
      <c r="R15" s="30">
        <f t="shared" si="7"/>
        <v>1.3922369999999999</v>
      </c>
      <c r="S15" s="12"/>
      <c r="T15" s="14">
        <v>1559000000000</v>
      </c>
      <c r="U15" s="30">
        <f t="shared" si="8"/>
        <v>2.5121255579368021E-2</v>
      </c>
      <c r="V15" s="30">
        <f t="shared" si="9"/>
        <v>0.64341725134131245</v>
      </c>
      <c r="W15" s="46">
        <v>186600000000</v>
      </c>
      <c r="X15" s="35">
        <f t="shared" si="10"/>
        <v>7.7011968633924885E-2</v>
      </c>
      <c r="Y15" s="14">
        <v>436140000000</v>
      </c>
      <c r="Z15" s="29">
        <f t="shared" si="11"/>
        <v>0.18</v>
      </c>
      <c r="AA15" s="36">
        <v>26000000</v>
      </c>
      <c r="AB15" s="37">
        <f t="shared" si="12"/>
        <v>0.44142614601018676</v>
      </c>
      <c r="AC15" s="38">
        <v>191417000000</v>
      </c>
      <c r="AD15" s="29">
        <f t="shared" si="13"/>
        <v>7.9000000000000001E-2</v>
      </c>
      <c r="AE15" s="31">
        <v>218070000000</v>
      </c>
      <c r="AF15" s="29">
        <f t="shared" si="14"/>
        <v>0.09</v>
      </c>
      <c r="AG15" s="31">
        <v>96920000000</v>
      </c>
      <c r="AH15" s="29">
        <f t="shared" si="15"/>
        <v>0.04</v>
      </c>
      <c r="AI15" s="39">
        <f t="shared" si="16"/>
        <v>0.44806751719627014</v>
      </c>
      <c r="AJ15" s="40">
        <v>0.91500000000000004</v>
      </c>
      <c r="AK15" s="40">
        <v>0.32500000000000001</v>
      </c>
      <c r="AL15" s="41">
        <f t="shared" si="17"/>
        <v>0.59000000000000008</v>
      </c>
      <c r="AM15" s="42">
        <f t="shared" si="18"/>
        <v>23178.936332767407</v>
      </c>
      <c r="AN15" s="43" t="s">
        <v>74</v>
      </c>
      <c r="AO15" s="45" t="s">
        <v>83</v>
      </c>
      <c r="AP15" s="13" t="s">
        <v>84</v>
      </c>
    </row>
    <row r="16" spans="1:42" ht="33.9">
      <c r="A16" s="26">
        <f>A15+1</f>
        <v>14</v>
      </c>
      <c r="B16" s="27" t="s">
        <v>85</v>
      </c>
      <c r="C16" s="15"/>
      <c r="D16" s="14">
        <v>3211000000000</v>
      </c>
      <c r="E16" s="28">
        <v>7</v>
      </c>
      <c r="F16" s="29">
        <f t="shared" si="0"/>
        <v>2.8217240377090596E-2</v>
      </c>
      <c r="G16" s="12"/>
      <c r="H16" s="17">
        <v>68600000</v>
      </c>
      <c r="I16" s="30">
        <f t="shared" si="1"/>
        <v>8.3822091886608021E-3</v>
      </c>
      <c r="J16" s="31">
        <f t="shared" si="2"/>
        <v>46807.580174927112</v>
      </c>
      <c r="K16" s="30">
        <v>0.02</v>
      </c>
      <c r="L16" s="32">
        <f t="shared" si="3"/>
        <v>45871.428571428572</v>
      </c>
      <c r="M16" s="30">
        <v>2.1499999999999998E-2</v>
      </c>
      <c r="N16" s="14">
        <v>3628430000000</v>
      </c>
      <c r="O16" s="14">
        <f t="shared" si="4"/>
        <v>78011245000</v>
      </c>
      <c r="P16" s="14">
        <f t="shared" si="5"/>
        <v>3706441245000</v>
      </c>
      <c r="Q16" s="29">
        <f t="shared" si="6"/>
        <v>2.4295000000000001E-2</v>
      </c>
      <c r="R16" s="30">
        <f t="shared" si="7"/>
        <v>1.1542950000000001</v>
      </c>
      <c r="S16" s="12"/>
      <c r="T16" s="14">
        <v>1996000000000</v>
      </c>
      <c r="U16" s="30">
        <f t="shared" si="8"/>
        <v>3.2162941716753414E-2</v>
      </c>
      <c r="V16" s="30">
        <f t="shared" si="9"/>
        <v>0.62161320460915603</v>
      </c>
      <c r="W16" s="34">
        <v>-113000000000</v>
      </c>
      <c r="X16" s="35">
        <f t="shared" si="10"/>
        <v>-3.5191529118654627E-2</v>
      </c>
      <c r="Y16" s="14">
        <v>642200000000</v>
      </c>
      <c r="Z16" s="29">
        <f t="shared" si="11"/>
        <v>0.2</v>
      </c>
      <c r="AA16" s="36">
        <v>38200000</v>
      </c>
      <c r="AB16" s="37">
        <f t="shared" si="12"/>
        <v>0.5568513119533528</v>
      </c>
      <c r="AC16" s="38">
        <v>388531000000</v>
      </c>
      <c r="AD16" s="29">
        <f t="shared" si="13"/>
        <v>0.121</v>
      </c>
      <c r="AE16" s="31">
        <v>321100000000</v>
      </c>
      <c r="AF16" s="29">
        <f t="shared" si="14"/>
        <v>0.1</v>
      </c>
      <c r="AG16" s="31">
        <v>173394000000</v>
      </c>
      <c r="AH16" s="29">
        <f t="shared" si="15"/>
        <v>5.3999999999999999E-2</v>
      </c>
      <c r="AI16" s="39">
        <f t="shared" si="16"/>
        <v>0.44373071125843594</v>
      </c>
      <c r="AJ16" s="40">
        <v>0.92</v>
      </c>
      <c r="AK16" s="40">
        <v>0.29799999999999999</v>
      </c>
      <c r="AL16" s="41">
        <f t="shared" si="17"/>
        <v>0.62200000000000011</v>
      </c>
      <c r="AM16" s="42">
        <f t="shared" si="18"/>
        <v>28532.028571428578</v>
      </c>
      <c r="AN16" s="43" t="s">
        <v>86</v>
      </c>
      <c r="AO16" s="45" t="s">
        <v>87</v>
      </c>
      <c r="AP16" s="13" t="s">
        <v>88</v>
      </c>
    </row>
    <row r="17" spans="1:42" ht="33.9">
      <c r="A17" s="26">
        <f>A16+1</f>
        <v>15</v>
      </c>
      <c r="B17" s="27" t="s">
        <v>89</v>
      </c>
      <c r="C17" s="15"/>
      <c r="D17" s="14">
        <v>3839000000000</v>
      </c>
      <c r="E17" s="28">
        <v>6</v>
      </c>
      <c r="F17" s="29">
        <f t="shared" si="0"/>
        <v>3.3735903396963814E-2</v>
      </c>
      <c r="G17" s="12"/>
      <c r="H17" s="17">
        <v>68300000</v>
      </c>
      <c r="I17" s="30">
        <f t="shared" si="1"/>
        <v>8.3455522971651996E-3</v>
      </c>
      <c r="J17" s="31">
        <f t="shared" si="2"/>
        <v>56207.906295754023</v>
      </c>
      <c r="K17" s="30">
        <v>3.4000000000000002E-2</v>
      </c>
      <c r="L17" s="32">
        <f t="shared" si="3"/>
        <v>54296.837481698385</v>
      </c>
      <c r="M17" s="30">
        <v>4.2500000000000003E-2</v>
      </c>
      <c r="N17" s="14">
        <v>3685440000000</v>
      </c>
      <c r="O17" s="14">
        <f t="shared" si="4"/>
        <v>156631200000</v>
      </c>
      <c r="P17" s="14">
        <f t="shared" si="5"/>
        <v>3842071200000</v>
      </c>
      <c r="Q17" s="29">
        <f t="shared" si="6"/>
        <v>4.0800000000000003E-2</v>
      </c>
      <c r="R17" s="30">
        <f t="shared" si="7"/>
        <v>1.0007999999999999</v>
      </c>
      <c r="S17" s="12"/>
      <c r="T17" s="14">
        <v>2452353000000</v>
      </c>
      <c r="U17" s="30">
        <f t="shared" si="8"/>
        <v>3.9516476256465621E-2</v>
      </c>
      <c r="V17" s="30">
        <f t="shared" si="9"/>
        <v>0.6387999479030998</v>
      </c>
      <c r="W17" s="34">
        <v>-44000000000</v>
      </c>
      <c r="X17" s="35">
        <f t="shared" si="10"/>
        <v>-1.1461318051575931E-2</v>
      </c>
      <c r="Y17" s="14">
        <v>691020000000</v>
      </c>
      <c r="Z17" s="29">
        <f t="shared" si="11"/>
        <v>0.18</v>
      </c>
      <c r="AA17" s="36">
        <v>27000000</v>
      </c>
      <c r="AB17" s="37">
        <f t="shared" si="12"/>
        <v>0.39531478770131773</v>
      </c>
      <c r="AC17" s="38">
        <v>426129000000</v>
      </c>
      <c r="AD17" s="29">
        <f t="shared" si="13"/>
        <v>0.111</v>
      </c>
      <c r="AE17" s="31">
        <v>268730000000</v>
      </c>
      <c r="AF17" s="29">
        <f t="shared" si="14"/>
        <v>7.0000000000000007E-2</v>
      </c>
      <c r="AG17" s="31">
        <v>157399000000</v>
      </c>
      <c r="AH17" s="29">
        <f t="shared" si="15"/>
        <v>4.1000000000000002E-2</v>
      </c>
      <c r="AI17" s="39">
        <f t="shared" si="16"/>
        <v>0.38347458534538792</v>
      </c>
      <c r="AJ17" s="40">
        <v>0.94599999999999995</v>
      </c>
      <c r="AK17" s="40">
        <v>0.35399999999999998</v>
      </c>
      <c r="AL17" s="41">
        <f t="shared" si="17"/>
        <v>0.59199999999999997</v>
      </c>
      <c r="AM17" s="42">
        <f t="shared" si="18"/>
        <v>32143.727789165441</v>
      </c>
      <c r="AN17" s="43" t="s">
        <v>90</v>
      </c>
      <c r="AO17" s="45" t="s">
        <v>91</v>
      </c>
      <c r="AP17" s="13" t="s">
        <v>92</v>
      </c>
    </row>
    <row r="18" spans="1:42" ht="33.9">
      <c r="A18" s="26">
        <f>A17+1</f>
        <v>16</v>
      </c>
      <c r="B18" s="27" t="s">
        <v>93</v>
      </c>
      <c r="C18" s="15"/>
      <c r="D18" s="14">
        <v>2241253000000</v>
      </c>
      <c r="E18" s="28">
        <v>9</v>
      </c>
      <c r="F18" s="29">
        <f t="shared" si="0"/>
        <v>1.9695414091210037E-2</v>
      </c>
      <c r="G18" s="12"/>
      <c r="H18" s="17">
        <v>42000000</v>
      </c>
      <c r="I18" s="30">
        <f t="shared" si="1"/>
        <v>5.131964809384164E-3</v>
      </c>
      <c r="J18" s="31">
        <f t="shared" si="2"/>
        <v>53363.166666666664</v>
      </c>
      <c r="K18" s="30">
        <v>1.7000000000000001E-2</v>
      </c>
      <c r="L18" s="32">
        <f t="shared" si="3"/>
        <v>52455.99283333333</v>
      </c>
      <c r="M18" s="30">
        <v>2.75E-2</v>
      </c>
      <c r="N18" s="14">
        <v>941326300000</v>
      </c>
      <c r="O18" s="14">
        <f t="shared" si="4"/>
        <v>25886473250</v>
      </c>
      <c r="P18" s="14">
        <f t="shared" si="5"/>
        <v>967212773250</v>
      </c>
      <c r="Q18" s="29">
        <f t="shared" si="6"/>
        <v>1.1550000490796889E-2</v>
      </c>
      <c r="R18" s="30">
        <f t="shared" si="7"/>
        <v>0.43155001833795648</v>
      </c>
      <c r="S18" s="12"/>
      <c r="T18" s="14">
        <v>1385000000000</v>
      </c>
      <c r="U18" s="30">
        <f t="shared" si="8"/>
        <v>2.2317472083017775E-2</v>
      </c>
      <c r="V18" s="30">
        <f t="shared" si="9"/>
        <v>0.61795790122757221</v>
      </c>
      <c r="W18" s="34">
        <v>-8000000000</v>
      </c>
      <c r="X18" s="35">
        <f t="shared" si="10"/>
        <v>-3.5694319204480707E-3</v>
      </c>
      <c r="Y18" s="14">
        <v>291362900000</v>
      </c>
      <c r="Z18" s="29">
        <f t="shared" si="11"/>
        <v>0.13000000446178991</v>
      </c>
      <c r="AA18" s="36">
        <v>15000000</v>
      </c>
      <c r="AB18" s="37">
        <f t="shared" si="12"/>
        <v>0.35714285714285715</v>
      </c>
      <c r="AC18" s="38">
        <v>268950400000.00003</v>
      </c>
      <c r="AD18" s="29">
        <f t="shared" si="13"/>
        <v>0.12000001784715962</v>
      </c>
      <c r="AE18" s="31">
        <v>230849000000</v>
      </c>
      <c r="AF18" s="29">
        <f t="shared" si="14"/>
        <v>0.10299997367543959</v>
      </c>
      <c r="AG18" s="31">
        <v>118786000000</v>
      </c>
      <c r="AH18" s="29">
        <f t="shared" si="15"/>
        <v>5.299981751279307E-2</v>
      </c>
      <c r="AI18" s="39">
        <f t="shared" si="16"/>
        <v>0.41057579517714726</v>
      </c>
      <c r="AJ18" s="40">
        <v>0.93899999999999995</v>
      </c>
      <c r="AK18" s="40">
        <v>0.29199999999999998</v>
      </c>
      <c r="AL18" s="41">
        <f t="shared" si="17"/>
        <v>0.64700000000000002</v>
      </c>
      <c r="AM18" s="42">
        <f t="shared" si="18"/>
        <v>33939.027363166664</v>
      </c>
      <c r="AN18" s="43" t="s">
        <v>90</v>
      </c>
      <c r="AO18" s="45" t="s">
        <v>94</v>
      </c>
      <c r="AP18" s="13" t="s">
        <v>95</v>
      </c>
    </row>
    <row r="19" spans="1:42" ht="33.9">
      <c r="A19" s="26">
        <v>17</v>
      </c>
      <c r="B19" s="27" t="s">
        <v>96</v>
      </c>
      <c r="C19" s="15"/>
      <c r="D19" s="14">
        <v>4750000000000</v>
      </c>
      <c r="E19" s="28">
        <v>3</v>
      </c>
      <c r="F19" s="29">
        <f t="shared" si="0"/>
        <v>4.1741479847767153E-2</v>
      </c>
      <c r="G19" s="12"/>
      <c r="H19" s="17">
        <v>83600000</v>
      </c>
      <c r="I19" s="30">
        <f t="shared" si="1"/>
        <v>1.0215053763440861E-2</v>
      </c>
      <c r="J19" s="31">
        <f t="shared" si="2"/>
        <v>56818.181818181816</v>
      </c>
      <c r="K19" s="30">
        <v>0.02</v>
      </c>
      <c r="L19" s="32">
        <f t="shared" si="3"/>
        <v>55681.818181818177</v>
      </c>
      <c r="M19" s="30">
        <v>2.1499999999999998E-2</v>
      </c>
      <c r="N19" s="14">
        <v>2964000000000</v>
      </c>
      <c r="O19" s="14">
        <f t="shared" si="4"/>
        <v>63725999999.999992</v>
      </c>
      <c r="P19" s="14">
        <f t="shared" si="5"/>
        <v>3027726000000</v>
      </c>
      <c r="Q19" s="29">
        <f t="shared" si="6"/>
        <v>1.3415999999999999E-2</v>
      </c>
      <c r="R19" s="30">
        <f t="shared" si="7"/>
        <v>0.63741599999999998</v>
      </c>
      <c r="S19" s="12"/>
      <c r="T19" s="14">
        <v>3978000000000</v>
      </c>
      <c r="U19" s="30">
        <f t="shared" si="8"/>
        <v>6.4100291657938416E-2</v>
      </c>
      <c r="V19" s="30">
        <f t="shared" si="9"/>
        <v>0.83747368421052637</v>
      </c>
      <c r="W19" s="46">
        <v>282000000000</v>
      </c>
      <c r="X19" s="35">
        <f t="shared" si="10"/>
        <v>5.9368421052631577E-2</v>
      </c>
      <c r="Y19" s="14">
        <v>950000000000</v>
      </c>
      <c r="Z19" s="29">
        <f t="shared" si="11"/>
        <v>0.2</v>
      </c>
      <c r="AA19" s="36">
        <v>43100000</v>
      </c>
      <c r="AB19" s="37">
        <f t="shared" si="12"/>
        <v>0.51555023923444976</v>
      </c>
      <c r="AC19" s="38">
        <v>608000000000</v>
      </c>
      <c r="AD19" s="29">
        <f t="shared" si="13"/>
        <v>0.128</v>
      </c>
      <c r="AE19" s="31">
        <v>380000000000</v>
      </c>
      <c r="AF19" s="29">
        <f t="shared" si="14"/>
        <v>0.08</v>
      </c>
      <c r="AG19" s="31">
        <v>213750000000</v>
      </c>
      <c r="AH19" s="29">
        <f t="shared" si="15"/>
        <v>4.4999999999999998E-2</v>
      </c>
      <c r="AI19" s="39">
        <f t="shared" si="16"/>
        <v>0.54069390090039882</v>
      </c>
      <c r="AJ19" s="40">
        <v>0.95899999999999996</v>
      </c>
      <c r="AK19" s="40">
        <v>0.29399999999999998</v>
      </c>
      <c r="AL19" s="41">
        <f t="shared" si="17"/>
        <v>0.66500000000000004</v>
      </c>
      <c r="AM19" s="42">
        <f t="shared" si="18"/>
        <v>37028.409090909088</v>
      </c>
      <c r="AN19" s="43" t="s">
        <v>97</v>
      </c>
      <c r="AO19" s="45" t="s">
        <v>98</v>
      </c>
      <c r="AP19" s="13" t="s">
        <v>99</v>
      </c>
    </row>
    <row r="20" spans="1:42" ht="33.9">
      <c r="A20" s="26">
        <f>A19+1</f>
        <v>18</v>
      </c>
      <c r="B20" s="27" t="s">
        <v>100</v>
      </c>
      <c r="C20" s="15"/>
      <c r="D20" s="14">
        <v>1772000000000</v>
      </c>
      <c r="E20" s="28">
        <v>14</v>
      </c>
      <c r="F20" s="29">
        <f t="shared" si="0"/>
        <v>1.5571768903209136E-2</v>
      </c>
      <c r="G20" s="12"/>
      <c r="H20" s="17">
        <v>27900000</v>
      </c>
      <c r="I20" s="30">
        <f t="shared" si="1"/>
        <v>3.4090909090909089E-3</v>
      </c>
      <c r="J20" s="31">
        <f t="shared" si="2"/>
        <v>63512.544802867385</v>
      </c>
      <c r="K20" s="30">
        <v>2.4E-2</v>
      </c>
      <c r="L20" s="32">
        <f t="shared" si="3"/>
        <v>61988.243727598565</v>
      </c>
      <c r="M20" s="30">
        <v>3.85E-2</v>
      </c>
      <c r="N20" s="14">
        <v>873596000000</v>
      </c>
      <c r="O20" s="14">
        <f t="shared" si="4"/>
        <v>33633446000</v>
      </c>
      <c r="P20" s="14">
        <f t="shared" si="5"/>
        <v>907229446000</v>
      </c>
      <c r="Q20" s="29">
        <f t="shared" si="6"/>
        <v>1.8980500000000001E-2</v>
      </c>
      <c r="R20" s="30">
        <f t="shared" si="7"/>
        <v>0.51198049999999995</v>
      </c>
      <c r="S20" s="12"/>
      <c r="T20" s="14">
        <v>804000000000</v>
      </c>
      <c r="U20" s="30">
        <f t="shared" si="8"/>
        <v>1.2955413396928728E-2</v>
      </c>
      <c r="V20" s="30">
        <f t="shared" si="9"/>
        <v>0.45372460496613998</v>
      </c>
      <c r="W20" s="46">
        <v>20000000000</v>
      </c>
      <c r="X20" s="35">
        <f t="shared" si="10"/>
        <v>1.1286681715575621E-2</v>
      </c>
      <c r="Y20" s="14">
        <v>131128000000</v>
      </c>
      <c r="Z20" s="29">
        <f t="shared" si="11"/>
        <v>7.3999999999999996E-2</v>
      </c>
      <c r="AA20" s="36">
        <v>10800000</v>
      </c>
      <c r="AB20" s="37">
        <f t="shared" si="12"/>
        <v>0.38709677419354838</v>
      </c>
      <c r="AC20" s="38">
        <v>175428000000</v>
      </c>
      <c r="AD20" s="29">
        <f t="shared" si="13"/>
        <v>9.9000000000000005E-2</v>
      </c>
      <c r="AE20" s="31">
        <v>177200000000</v>
      </c>
      <c r="AF20" s="29">
        <f t="shared" si="14"/>
        <v>0.1</v>
      </c>
      <c r="AG20" s="31">
        <v>102776000000</v>
      </c>
      <c r="AH20" s="29">
        <f t="shared" si="15"/>
        <v>5.8000000000000003E-2</v>
      </c>
      <c r="AI20" s="39">
        <f t="shared" si="16"/>
        <v>0.33887795061878478</v>
      </c>
      <c r="AJ20" s="40">
        <v>0.95799999999999996</v>
      </c>
      <c r="AK20" s="40">
        <v>0.32400000000000001</v>
      </c>
      <c r="AL20" s="41">
        <f t="shared" si="17"/>
        <v>0.6339999999999999</v>
      </c>
      <c r="AM20" s="42">
        <f t="shared" si="18"/>
        <v>39300.546523297482</v>
      </c>
      <c r="AN20" s="43" t="s">
        <v>97</v>
      </c>
      <c r="AO20" s="45" t="s">
        <v>101</v>
      </c>
      <c r="AP20" s="13" t="s">
        <v>102</v>
      </c>
    </row>
    <row r="21" spans="1:42" ht="33.9">
      <c r="A21" s="26">
        <f>A20+1</f>
        <v>19</v>
      </c>
      <c r="B21" s="27" t="s">
        <v>103</v>
      </c>
      <c r="C21" s="15"/>
      <c r="D21" s="14">
        <v>1272000000000</v>
      </c>
      <c r="E21" s="28">
        <v>18</v>
      </c>
      <c r="F21" s="29">
        <f t="shared" si="0"/>
        <v>1.1177928919233646E-2</v>
      </c>
      <c r="G21" s="12"/>
      <c r="H21" s="17">
        <v>18400000</v>
      </c>
      <c r="I21" s="30">
        <f t="shared" si="1"/>
        <v>2.2482893450635386E-3</v>
      </c>
      <c r="J21" s="31">
        <f t="shared" si="2"/>
        <v>69130.434782608689</v>
      </c>
      <c r="K21" s="30">
        <v>3.1E-2</v>
      </c>
      <c r="L21" s="32">
        <f t="shared" si="3"/>
        <v>66987.391304347824</v>
      </c>
      <c r="M21" s="30">
        <v>2.4E-2</v>
      </c>
      <c r="N21" s="14">
        <v>550776000000</v>
      </c>
      <c r="O21" s="14">
        <f t="shared" si="4"/>
        <v>13218624000</v>
      </c>
      <c r="P21" s="14">
        <f t="shared" si="5"/>
        <v>563994624000</v>
      </c>
      <c r="Q21" s="29">
        <f t="shared" si="6"/>
        <v>1.0392E-2</v>
      </c>
      <c r="R21" s="30">
        <f t="shared" si="7"/>
        <v>0.44339200000000001</v>
      </c>
      <c r="S21" s="12"/>
      <c r="T21" s="14">
        <v>1357000000000</v>
      </c>
      <c r="U21" s="30">
        <f t="shared" si="8"/>
        <v>2.1866288531880954E-2</v>
      </c>
      <c r="V21" s="30">
        <f t="shared" si="9"/>
        <v>1.0668238993710693</v>
      </c>
      <c r="W21" s="46">
        <v>86900000000</v>
      </c>
      <c r="X21" s="35">
        <f t="shared" si="10"/>
        <v>6.831761006289308E-2</v>
      </c>
      <c r="Y21" s="14">
        <v>228960000000</v>
      </c>
      <c r="Z21" s="29">
        <f t="shared" si="11"/>
        <v>0.18</v>
      </c>
      <c r="AA21" s="36">
        <v>8300000.0000000009</v>
      </c>
      <c r="AB21" s="37">
        <f t="shared" si="12"/>
        <v>0.45108695652173919</v>
      </c>
      <c r="AC21" s="38">
        <v>127200000000</v>
      </c>
      <c r="AD21" s="29">
        <f t="shared" si="13"/>
        <v>0.1</v>
      </c>
      <c r="AE21" s="31">
        <v>127200000000</v>
      </c>
      <c r="AF21" s="29">
        <f t="shared" si="14"/>
        <v>0.1</v>
      </c>
      <c r="AG21" s="31">
        <v>69960000000</v>
      </c>
      <c r="AH21" s="29">
        <f t="shared" si="15"/>
        <v>5.5E-2</v>
      </c>
      <c r="AI21" s="39">
        <f t="shared" si="16"/>
        <v>0.50410353898212668</v>
      </c>
      <c r="AJ21" s="40">
        <v>0.95499999999999996</v>
      </c>
      <c r="AK21" s="40">
        <v>0.26400000000000001</v>
      </c>
      <c r="AL21" s="41">
        <f t="shared" si="17"/>
        <v>0.69099999999999995</v>
      </c>
      <c r="AM21" s="42">
        <f t="shared" si="18"/>
        <v>46288.287391304344</v>
      </c>
      <c r="AN21" s="43" t="s">
        <v>42</v>
      </c>
      <c r="AO21" s="45" t="s">
        <v>104</v>
      </c>
      <c r="AP21" s="13" t="s">
        <v>105</v>
      </c>
    </row>
    <row r="22" spans="1:42" ht="33.9">
      <c r="A22" s="26">
        <f>A21+1</f>
        <v>20</v>
      </c>
      <c r="B22" s="27" t="s">
        <v>106</v>
      </c>
      <c r="C22" s="15"/>
      <c r="D22" s="14">
        <v>947000000000</v>
      </c>
      <c r="E22" s="28">
        <v>20</v>
      </c>
      <c r="F22" s="29">
        <f>D22/$C$2</f>
        <v>8.3219329296495784E-3</v>
      </c>
      <c r="G22" s="12"/>
      <c r="H22" s="17">
        <v>9100000</v>
      </c>
      <c r="I22" s="30">
        <f>H22/$G$2</f>
        <v>1.1119257086999023E-3</v>
      </c>
      <c r="J22" s="31">
        <f>D22/H22</f>
        <v>104065.93406593407</v>
      </c>
      <c r="K22" s="30">
        <v>0</v>
      </c>
      <c r="L22" s="32">
        <f>J22-J22*K22</f>
        <v>104065.93406593407</v>
      </c>
      <c r="M22" s="30">
        <v>0</v>
      </c>
      <c r="N22" s="14">
        <v>358913000000</v>
      </c>
      <c r="O22" s="14">
        <f>N22*M22</f>
        <v>0</v>
      </c>
      <c r="P22" s="14">
        <f>N22+O22</f>
        <v>358913000000</v>
      </c>
      <c r="Q22" s="29">
        <f>O22/D22</f>
        <v>0</v>
      </c>
      <c r="R22" s="30">
        <f>P22/D22</f>
        <v>0.379</v>
      </c>
      <c r="S22" s="12"/>
      <c r="T22" s="14">
        <v>818200000000</v>
      </c>
      <c r="U22" s="30">
        <f>T22/$S$2</f>
        <v>1.3184227912148117E-2</v>
      </c>
      <c r="V22" s="30">
        <f>T22/D22</f>
        <v>0.86399155227032731</v>
      </c>
      <c r="W22" s="46">
        <v>75480000000</v>
      </c>
      <c r="X22" s="35">
        <f>W22/D22</f>
        <v>7.9704329461457238E-2</v>
      </c>
      <c r="Y22" s="14">
        <v>151520000000</v>
      </c>
      <c r="Z22" s="29">
        <f>Y22/D22</f>
        <v>0.16</v>
      </c>
      <c r="AA22" s="36">
        <v>4800000</v>
      </c>
      <c r="AB22" s="37">
        <f>AA22/H22</f>
        <v>0.52747252747252749</v>
      </c>
      <c r="AC22" s="38">
        <v>111746000000</v>
      </c>
      <c r="AD22" s="29">
        <f>AC22/D22</f>
        <v>0.11799999999999999</v>
      </c>
      <c r="AE22" s="31">
        <v>97541000000</v>
      </c>
      <c r="AF22" s="29">
        <f>AE22/D22</f>
        <v>0.10299999999999999</v>
      </c>
      <c r="AG22" s="31">
        <v>51138000000</v>
      </c>
      <c r="AH22" s="29">
        <f>AG22/D22</f>
        <v>5.3999999999999999E-2</v>
      </c>
      <c r="AI22" s="39">
        <f>(AH22+AF22+AD22+Z22+F22-Q22+X22)</f>
        <v>0.52302626239110683</v>
      </c>
      <c r="AJ22" s="40">
        <v>0.97</v>
      </c>
      <c r="AK22" s="40">
        <v>0.315</v>
      </c>
      <c r="AL22" s="41">
        <f>AJ22-AK22</f>
        <v>0.65500000000000003</v>
      </c>
      <c r="AM22" s="42">
        <f>(L22)*(AL22)</f>
        <v>68163.18681318681</v>
      </c>
      <c r="AN22" s="43" t="s">
        <v>107</v>
      </c>
      <c r="AO22" s="45" t="s">
        <v>108</v>
      </c>
      <c r="AP22" s="13" t="s">
        <v>109</v>
      </c>
    </row>
    <row r="23" spans="1:42" ht="33.9">
      <c r="A23" s="26">
        <f>A22+1</f>
        <v>21</v>
      </c>
      <c r="B23" s="27" t="s">
        <v>171</v>
      </c>
      <c r="C23" s="15"/>
      <c r="D23" s="74">
        <v>683533000000</v>
      </c>
      <c r="E23" s="28">
        <v>20</v>
      </c>
      <c r="F23" s="29">
        <f>D23/$C$2</f>
        <v>6.0066692515334374E-3</v>
      </c>
      <c r="G23" s="12"/>
      <c r="H23" s="17">
        <v>46700000</v>
      </c>
      <c r="I23" s="30">
        <f>H23/$G$2</f>
        <v>5.7062561094819155E-3</v>
      </c>
      <c r="J23" s="31">
        <f>D23/H23</f>
        <v>14636.680942184154</v>
      </c>
      <c r="K23" s="30">
        <v>0.318</v>
      </c>
      <c r="L23" s="32">
        <f>J23-J23*K23</f>
        <v>9982.2164025695929</v>
      </c>
      <c r="M23" s="30">
        <v>0.28999999999999998</v>
      </c>
      <c r="N23" s="14">
        <v>533600000000</v>
      </c>
      <c r="O23" s="14">
        <f>N23*M23</f>
        <v>154744000000</v>
      </c>
      <c r="P23" s="14">
        <f>N23+O23</f>
        <v>688344000000</v>
      </c>
      <c r="Q23" s="29">
        <f>O23/D23</f>
        <v>0.22638848453549426</v>
      </c>
      <c r="R23" s="30">
        <f>P23/D23</f>
        <v>1.0070384312096123</v>
      </c>
      <c r="S23" s="12"/>
      <c r="T23" s="14">
        <v>141000000000</v>
      </c>
      <c r="U23" s="30">
        <f>T23/$S$2</f>
        <v>2.2720314539389935E-3</v>
      </c>
      <c r="V23" s="30">
        <f>T23/D23</f>
        <v>0.20628118905744128</v>
      </c>
      <c r="W23" s="46">
        <v>19000000000</v>
      </c>
      <c r="X23" s="35">
        <f>W23/D23</f>
        <v>2.7796755972279319E-2</v>
      </c>
      <c r="Y23" s="14">
        <v>116200000000</v>
      </c>
      <c r="Z23" s="29">
        <f>Y23/D23</f>
        <v>0.16999910757783457</v>
      </c>
      <c r="AA23" s="36">
        <v>14400000</v>
      </c>
      <c r="AB23" s="37">
        <f>AA23/H23</f>
        <v>0.30835117773019272</v>
      </c>
      <c r="AC23" s="38">
        <v>68353000000</v>
      </c>
      <c r="AD23" s="29">
        <f>AC23/D23</f>
        <v>9.9999561103853066E-2</v>
      </c>
      <c r="AE23" s="31">
        <v>54640000000</v>
      </c>
      <c r="AF23" s="29">
        <f>AE23/D23</f>
        <v>7.9937618227649582E-2</v>
      </c>
      <c r="AG23" s="31">
        <v>41000000000</v>
      </c>
      <c r="AH23" s="29">
        <f>AG23/D23</f>
        <v>5.9982473413865901E-2</v>
      </c>
      <c r="AI23" s="39">
        <f>(AH23+AF23+AD23+Z23+F23-Q23+X23)</f>
        <v>0.21733370101152155</v>
      </c>
      <c r="AJ23" s="40">
        <v>0.86499999999999999</v>
      </c>
      <c r="AK23" s="75">
        <v>0.4</v>
      </c>
      <c r="AL23" s="41">
        <f>AJ23-AK23</f>
        <v>0.46499999999999997</v>
      </c>
      <c r="AM23" s="42">
        <f>(L23)*(AL23)</f>
        <v>4641.7306271948601</v>
      </c>
      <c r="AN23" s="43" t="s">
        <v>53</v>
      </c>
      <c r="AO23" s="45" t="s">
        <v>172</v>
      </c>
      <c r="AP23" s="13" t="s">
        <v>175</v>
      </c>
    </row>
    <row r="24" spans="1:42" ht="33.9">
      <c r="A24" s="26">
        <f>A23+1</f>
        <v>22</v>
      </c>
      <c r="B24" s="27" t="s">
        <v>173</v>
      </c>
      <c r="C24" s="15"/>
      <c r="D24" s="14">
        <v>426380000000</v>
      </c>
      <c r="E24" s="28">
        <v>38</v>
      </c>
      <c r="F24" s="29">
        <f>D24/$C$2</f>
        <v>3.7468909847349387E-3</v>
      </c>
      <c r="G24" s="12"/>
      <c r="H24" s="17">
        <v>64010000</v>
      </c>
      <c r="I24" s="30">
        <f>H24/$G$2</f>
        <v>7.8213587487781042E-3</v>
      </c>
      <c r="J24" s="31">
        <f>D24/H24</f>
        <v>6661.1466958287765</v>
      </c>
      <c r="K24" s="30">
        <v>3.4000000000000002E-2</v>
      </c>
      <c r="L24" s="32">
        <f>J24-J24*K24</f>
        <v>6434.6677081705984</v>
      </c>
      <c r="M24" s="30">
        <v>6.7500000000000004E-2</v>
      </c>
      <c r="N24" s="14">
        <v>332576000000</v>
      </c>
      <c r="O24" s="14">
        <f>N24*M24</f>
        <v>22448880000</v>
      </c>
      <c r="P24" s="14">
        <f>N24+O24</f>
        <v>355024880000</v>
      </c>
      <c r="Q24" s="29">
        <f>O24/D24</f>
        <v>5.2649936676204323E-2</v>
      </c>
      <c r="R24" s="30">
        <f>P24/D24</f>
        <v>0.83264899854589802</v>
      </c>
      <c r="S24" s="12"/>
      <c r="T24" s="14">
        <v>252000000000</v>
      </c>
      <c r="U24" s="30">
        <f>T24/$S$2</f>
        <v>4.0606519602313929E-3</v>
      </c>
      <c r="V24" s="30">
        <f>T24/D24</f>
        <v>0.59102209296871333</v>
      </c>
      <c r="W24" s="46">
        <v>38000000000</v>
      </c>
      <c r="X24" s="35">
        <f>W24/D24</f>
        <v>8.9122379098456772E-2</v>
      </c>
      <c r="Y24" s="14">
        <v>65803000000</v>
      </c>
      <c r="Z24" s="29">
        <f>Y24/D24</f>
        <v>0.15432947136357239</v>
      </c>
      <c r="AA24" s="36">
        <v>20000000</v>
      </c>
      <c r="AB24" s="37">
        <f>AA24/H24</f>
        <v>0.31245117950320261</v>
      </c>
      <c r="AC24" s="38">
        <v>36374000000</v>
      </c>
      <c r="AD24" s="29">
        <f>AC24/D24</f>
        <v>8.5308879403349122E-2</v>
      </c>
      <c r="AE24" s="31">
        <v>25582000000</v>
      </c>
      <c r="AF24" s="29">
        <f>AE24/D24</f>
        <v>5.9998123739387399E-2</v>
      </c>
      <c r="AG24" s="31">
        <v>27714000000</v>
      </c>
      <c r="AH24" s="29">
        <f>AG24/D24</f>
        <v>6.4998358271963971E-2</v>
      </c>
      <c r="AI24" s="39">
        <f>(AH24+AF24+AD24+Z24+F24-Q24+X24)</f>
        <v>0.40485416618526032</v>
      </c>
      <c r="AJ24" s="40">
        <v>0.74</v>
      </c>
      <c r="AK24" s="40">
        <v>0.63</v>
      </c>
      <c r="AL24" s="41">
        <f>AJ24-AK24</f>
        <v>0.10999999999999999</v>
      </c>
      <c r="AM24" s="42">
        <f>(L24)*(AL24)</f>
        <v>707.81344789876573</v>
      </c>
      <c r="AN24" s="43" t="s">
        <v>46</v>
      </c>
      <c r="AO24" s="45" t="s">
        <v>174</v>
      </c>
      <c r="AP24" s="13" t="s">
        <v>176</v>
      </c>
    </row>
  </sheetData>
  <phoneticPr fontId="3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941D-8DA2-4B6E-8284-25F880568F6C}">
  <dimension ref="A1:B43"/>
  <sheetViews>
    <sheetView workbookViewId="0">
      <selection activeCell="B7" sqref="B7"/>
    </sheetView>
  </sheetViews>
  <sheetFormatPr defaultRowHeight="12.45"/>
  <cols>
    <col min="1" max="1" width="35.3828125" bestFit="1" customWidth="1"/>
    <col min="2" max="2" width="77.23046875" bestFit="1" customWidth="1"/>
  </cols>
  <sheetData>
    <row r="1" spans="1:2">
      <c r="A1" s="71" t="s">
        <v>151</v>
      </c>
      <c r="B1" s="71" t="s">
        <v>152</v>
      </c>
    </row>
    <row r="2" spans="1:2">
      <c r="A2" t="s">
        <v>149</v>
      </c>
      <c r="B2" t="s">
        <v>150</v>
      </c>
    </row>
    <row r="3" spans="1:2">
      <c r="A3" t="s">
        <v>0</v>
      </c>
      <c r="B3" s="72" t="s">
        <v>153</v>
      </c>
    </row>
    <row r="4" spans="1:2">
      <c r="A4" s="72" t="s">
        <v>154</v>
      </c>
      <c r="B4" t="s">
        <v>155</v>
      </c>
    </row>
    <row r="5" spans="1:2">
      <c r="A5" t="s">
        <v>1</v>
      </c>
      <c r="B5" t="s">
        <v>156</v>
      </c>
    </row>
    <row r="6" spans="1:2">
      <c r="A6" t="s">
        <v>2</v>
      </c>
      <c r="B6" t="s">
        <v>157</v>
      </c>
    </row>
    <row r="7" spans="1:2">
      <c r="A7" t="s">
        <v>3</v>
      </c>
    </row>
    <row r="8" spans="1:2">
      <c r="A8" t="s">
        <v>4</v>
      </c>
    </row>
    <row r="9" spans="1:2">
      <c r="A9" t="s">
        <v>5</v>
      </c>
    </row>
    <row r="10" spans="1:2">
      <c r="A10" t="s">
        <v>6</v>
      </c>
    </row>
    <row r="11" spans="1:2">
      <c r="A11" t="s">
        <v>7</v>
      </c>
    </row>
    <row r="12" spans="1:2">
      <c r="A12" t="s">
        <v>8</v>
      </c>
    </row>
    <row r="13" spans="1:2">
      <c r="A13" t="s">
        <v>9</v>
      </c>
    </row>
    <row r="14" spans="1:2">
      <c r="A14" t="s">
        <v>10</v>
      </c>
    </row>
    <row r="15" spans="1:2">
      <c r="A15" t="s">
        <v>11</v>
      </c>
    </row>
    <row r="16" spans="1:2">
      <c r="A16" t="s">
        <v>12</v>
      </c>
    </row>
    <row r="17" spans="1:1">
      <c r="A17" t="s">
        <v>13</v>
      </c>
    </row>
    <row r="18" spans="1:1">
      <c r="A18" t="s">
        <v>14</v>
      </c>
    </row>
    <row r="19" spans="1:1">
      <c r="A19" t="s">
        <v>15</v>
      </c>
    </row>
    <row r="20" spans="1:1">
      <c r="A20" t="s">
        <v>16</v>
      </c>
    </row>
    <row r="21" spans="1:1">
      <c r="A21" t="s">
        <v>17</v>
      </c>
    </row>
    <row r="22" spans="1:1">
      <c r="A22" t="s">
        <v>18</v>
      </c>
    </row>
    <row r="23" spans="1:1">
      <c r="A23" t="s">
        <v>19</v>
      </c>
    </row>
    <row r="24" spans="1:1">
      <c r="A24" t="s">
        <v>20</v>
      </c>
    </row>
    <row r="25" spans="1:1">
      <c r="A25" t="s">
        <v>21</v>
      </c>
    </row>
    <row r="26" spans="1:1">
      <c r="A26" t="s">
        <v>22</v>
      </c>
    </row>
    <row r="27" spans="1:1">
      <c r="A27" t="s">
        <v>23</v>
      </c>
    </row>
    <row r="28" spans="1:1">
      <c r="A28" t="s">
        <v>24</v>
      </c>
    </row>
    <row r="29" spans="1:1">
      <c r="A29" t="s">
        <v>25</v>
      </c>
    </row>
    <row r="30" spans="1:1">
      <c r="A30" t="s">
        <v>26</v>
      </c>
    </row>
    <row r="31" spans="1:1">
      <c r="A31" t="s">
        <v>27</v>
      </c>
    </row>
    <row r="32" spans="1:1">
      <c r="A32" t="s">
        <v>28</v>
      </c>
    </row>
    <row r="33" spans="1:1">
      <c r="A33" t="s">
        <v>29</v>
      </c>
    </row>
    <row r="34" spans="1:1">
      <c r="A34" t="s">
        <v>30</v>
      </c>
    </row>
    <row r="35" spans="1:1">
      <c r="A35" t="s">
        <v>31</v>
      </c>
    </row>
    <row r="36" spans="1:1">
      <c r="A36" t="s">
        <v>32</v>
      </c>
    </row>
    <row r="37" spans="1:1">
      <c r="A37" t="s">
        <v>33</v>
      </c>
    </row>
    <row r="38" spans="1:1">
      <c r="A38" t="s">
        <v>34</v>
      </c>
    </row>
    <row r="39" spans="1:1">
      <c r="A39" t="s">
        <v>35</v>
      </c>
    </row>
    <row r="40" spans="1:1">
      <c r="A40" t="s">
        <v>36</v>
      </c>
    </row>
    <row r="41" spans="1:1">
      <c r="A41" t="s">
        <v>37</v>
      </c>
    </row>
    <row r="42" spans="1:1">
      <c r="A42" t="s">
        <v>38</v>
      </c>
    </row>
    <row r="43" spans="1:1">
      <c r="A43"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3"/>
  <sheetViews>
    <sheetView workbookViewId="0">
      <selection activeCell="A15" sqref="A15:D15"/>
    </sheetView>
  </sheetViews>
  <sheetFormatPr defaultColWidth="12.61328125" defaultRowHeight="15.75" customHeight="1"/>
  <cols>
    <col min="1" max="1" width="8.15234375" customWidth="1"/>
    <col min="2" max="2" width="27.61328125" customWidth="1"/>
    <col min="3" max="3" width="24.23046875" customWidth="1"/>
    <col min="4" max="4" width="18.4609375" bestFit="1" customWidth="1"/>
  </cols>
  <sheetData>
    <row r="1" spans="1:4">
      <c r="A1" s="47" t="s">
        <v>128</v>
      </c>
      <c r="B1" s="48" t="s">
        <v>129</v>
      </c>
      <c r="C1" s="48" t="s">
        <v>130</v>
      </c>
      <c r="D1" s="48" t="s">
        <v>158</v>
      </c>
    </row>
    <row r="2" spans="1:4">
      <c r="A2" s="48">
        <v>1</v>
      </c>
      <c r="B2" s="49" t="s">
        <v>131</v>
      </c>
      <c r="C2" s="50" t="s">
        <v>46</v>
      </c>
      <c r="D2" s="50" t="s">
        <v>160</v>
      </c>
    </row>
    <row r="3" spans="1:4">
      <c r="A3" s="51">
        <v>2</v>
      </c>
      <c r="B3" s="52" t="s">
        <v>132</v>
      </c>
      <c r="C3" s="51" t="s">
        <v>53</v>
      </c>
      <c r="D3" s="51" t="s">
        <v>161</v>
      </c>
    </row>
    <row r="4" spans="1:4">
      <c r="A4" s="51">
        <v>3</v>
      </c>
      <c r="B4" s="52" t="s">
        <v>133</v>
      </c>
      <c r="C4" s="51" t="s">
        <v>63</v>
      </c>
      <c r="D4" s="51" t="s">
        <v>162</v>
      </c>
    </row>
    <row r="5" spans="1:4">
      <c r="A5" s="48">
        <v>4</v>
      </c>
      <c r="B5" s="52" t="s">
        <v>134</v>
      </c>
      <c r="C5" s="51" t="s">
        <v>135</v>
      </c>
      <c r="D5" s="51" t="s">
        <v>163</v>
      </c>
    </row>
    <row r="6" spans="1:4">
      <c r="A6" s="51">
        <v>5</v>
      </c>
      <c r="B6" s="52" t="s">
        <v>136</v>
      </c>
      <c r="C6" s="51" t="s">
        <v>70</v>
      </c>
      <c r="D6" s="51" t="s">
        <v>164</v>
      </c>
    </row>
    <row r="7" spans="1:4">
      <c r="A7" s="51">
        <v>6</v>
      </c>
      <c r="B7" s="52" t="s">
        <v>137</v>
      </c>
      <c r="C7" s="51" t="s">
        <v>138</v>
      </c>
      <c r="D7" s="51" t="s">
        <v>165</v>
      </c>
    </row>
    <row r="8" spans="1:4">
      <c r="A8" s="48">
        <v>7</v>
      </c>
      <c r="B8" s="52" t="s">
        <v>139</v>
      </c>
      <c r="C8" s="51" t="s">
        <v>74</v>
      </c>
      <c r="D8" s="51" t="s">
        <v>166</v>
      </c>
    </row>
    <row r="9" spans="1:4">
      <c r="A9" s="51">
        <v>8</v>
      </c>
      <c r="B9" s="52" t="s">
        <v>140</v>
      </c>
      <c r="C9" s="51" t="s">
        <v>86</v>
      </c>
      <c r="D9" s="51" t="s">
        <v>167</v>
      </c>
    </row>
    <row r="10" spans="1:4">
      <c r="A10" s="51">
        <v>9</v>
      </c>
      <c r="B10" s="52" t="s">
        <v>141</v>
      </c>
      <c r="C10" s="51" t="s">
        <v>90</v>
      </c>
      <c r="D10" s="51" t="s">
        <v>168</v>
      </c>
    </row>
    <row r="11" spans="1:4">
      <c r="A11" s="48">
        <v>10</v>
      </c>
      <c r="B11" s="52" t="s">
        <v>142</v>
      </c>
      <c r="C11" s="51" t="s">
        <v>97</v>
      </c>
      <c r="D11" s="51" t="s">
        <v>169</v>
      </c>
    </row>
    <row r="12" spans="1:4">
      <c r="A12" s="51">
        <v>11</v>
      </c>
      <c r="B12" s="52" t="s">
        <v>143</v>
      </c>
      <c r="C12" s="51" t="s">
        <v>42</v>
      </c>
      <c r="D12" s="51" t="s">
        <v>170</v>
      </c>
    </row>
    <row r="13" spans="1:4">
      <c r="A13" s="51">
        <v>12</v>
      </c>
      <c r="B13" s="53" t="s">
        <v>144</v>
      </c>
      <c r="C13" s="54" t="s">
        <v>107</v>
      </c>
      <c r="D13" s="54"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4"/>
  <sheetViews>
    <sheetView workbookViewId="0">
      <selection activeCell="B5" sqref="B5"/>
    </sheetView>
  </sheetViews>
  <sheetFormatPr defaultColWidth="12.61328125" defaultRowHeight="15.75" customHeight="1"/>
  <cols>
    <col min="1" max="1" width="30" customWidth="1"/>
    <col min="2" max="2" width="26.69140625" bestFit="1" customWidth="1"/>
    <col min="4" max="4" width="30" customWidth="1"/>
  </cols>
  <sheetData>
    <row r="1" spans="1:5">
      <c r="A1" s="55" t="s">
        <v>113</v>
      </c>
      <c r="B1" s="56"/>
      <c r="D1" s="57" t="s">
        <v>145</v>
      </c>
      <c r="E1" s="56"/>
    </row>
    <row r="2" spans="1:5">
      <c r="A2" s="58" t="s">
        <v>114</v>
      </c>
      <c r="B2" s="56">
        <v>0.59</v>
      </c>
      <c r="D2" s="59" t="s">
        <v>114</v>
      </c>
      <c r="E2" s="56" t="s">
        <v>146</v>
      </c>
    </row>
    <row r="3" spans="1:5">
      <c r="A3" s="60" t="s">
        <v>115</v>
      </c>
      <c r="B3" s="56">
        <v>0.44650000000000001</v>
      </c>
      <c r="D3" s="61" t="s">
        <v>115</v>
      </c>
      <c r="E3" s="56" t="s">
        <v>147</v>
      </c>
    </row>
    <row r="4" spans="1:5">
      <c r="A4" s="62" t="s">
        <v>116</v>
      </c>
      <c r="B4" s="56">
        <v>0.15129999999999999</v>
      </c>
      <c r="D4" s="63" t="s">
        <v>116</v>
      </c>
      <c r="E4" s="56" t="s">
        <v>148</v>
      </c>
    </row>
    <row r="5" spans="1:5">
      <c r="A5" s="64" t="s">
        <v>117</v>
      </c>
      <c r="B5" s="56">
        <v>33.880000000000003</v>
      </c>
      <c r="D5" s="65" t="s">
        <v>117</v>
      </c>
      <c r="E5" s="56">
        <v>80.89</v>
      </c>
    </row>
    <row r="7" spans="1:5">
      <c r="A7" s="66" t="s">
        <v>118</v>
      </c>
      <c r="B7" s="67"/>
    </row>
    <row r="8" spans="1:5">
      <c r="A8" s="67"/>
      <c r="B8" s="67"/>
    </row>
    <row r="9" spans="1:5">
      <c r="A9" s="62" t="s">
        <v>110</v>
      </c>
      <c r="B9" s="62" t="s">
        <v>119</v>
      </c>
    </row>
    <row r="10" spans="1:5">
      <c r="A10" s="68" t="s">
        <v>111</v>
      </c>
      <c r="B10" s="68" t="s">
        <v>120</v>
      </c>
    </row>
    <row r="11" spans="1:5">
      <c r="A11" s="69" t="s">
        <v>112</v>
      </c>
      <c r="B11" s="70" t="s">
        <v>121</v>
      </c>
    </row>
    <row r="12" spans="1:5">
      <c r="A12" s="67" t="s">
        <v>122</v>
      </c>
      <c r="B12" s="67" t="s">
        <v>123</v>
      </c>
    </row>
    <row r="13" spans="1:5">
      <c r="A13" s="56" t="s">
        <v>124</v>
      </c>
      <c r="B13" s="56" t="s">
        <v>125</v>
      </c>
    </row>
    <row r="14" spans="1:5">
      <c r="A14" s="56" t="s">
        <v>126</v>
      </c>
      <c r="B14" s="56"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HEART</vt:lpstr>
      <vt:lpstr>ColumnsExplained</vt:lpstr>
      <vt:lpstr>AffordibilityRules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Taiyab Khan</dc:creator>
  <cp:lastModifiedBy>Mohammad Taiyab Khan</cp:lastModifiedBy>
  <dcterms:created xsi:type="dcterms:W3CDTF">2026-01-26T12:32:43Z</dcterms:created>
  <dcterms:modified xsi:type="dcterms:W3CDTF">2026-01-26T12:32:43Z</dcterms:modified>
</cp:coreProperties>
</file>