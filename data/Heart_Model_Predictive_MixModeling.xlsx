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AffordibilityRules" sheetId="2" r:id="rId6"/>
    <sheet state="visible" name="Countries" sheetId="3" r:id="rId7"/>
    <sheet state="visible" name="India" sheetId="4" r:id="rId8"/>
    <sheet state="visible" name="US" sheetId="5" r:id="rId9"/>
    <sheet state="visible" name="UK" sheetId="6" r:id="rId10"/>
    <sheet state="visible" name="Japan" sheetId="7" r:id="rId11"/>
    <sheet state="visible" name="China" sheetId="8" r:id="rId12"/>
    <sheet state="visible" name="Germany" sheetId="9" r:id="rId13"/>
    <sheet state="visible" name="Indonesia" sheetId="10" r:id="rId14"/>
    <sheet state="visible" name="Brazil" sheetId="11" r:id="rId15"/>
    <sheet state="visible" name="Turkey" sheetId="12" r:id="rId16"/>
    <sheet state="visible" name="Mexico" sheetId="13" r:id="rId17"/>
    <sheet state="visible" name="Russia" sheetId="14" r:id="rId18"/>
    <sheet state="visible" name="SaudiArabia" sheetId="15" r:id="rId19"/>
    <sheet state="visible" name="SouthKorea" sheetId="16" r:id="rId20"/>
    <sheet state="visible" name="Spain" sheetId="17" r:id="rId21"/>
    <sheet state="visible" name="Italy" sheetId="18" r:id="rId22"/>
    <sheet state="visible" name="France" sheetId="19" r:id="rId23"/>
    <sheet state="visible" name="Canada" sheetId="20" r:id="rId24"/>
    <sheet state="visible" name="Australia" sheetId="21" r:id="rId25"/>
    <sheet state="visible" name="Netherland" sheetId="22" r:id="rId26"/>
    <sheet state="visible" name="Swizerland" sheetId="23" r:id="rId27"/>
    <sheet state="visible" name="Argentina" sheetId="24" r:id="rId28"/>
    <sheet state="visible" name="South Africa" sheetId="25" r:id="rId29"/>
    <sheet state="visible" name="Sources" sheetId="26" r:id="rId30"/>
  </sheets>
  <definedNames/>
  <calcPr/>
</workbook>
</file>

<file path=xl/sharedStrings.xml><?xml version="1.0" encoding="utf-8"?>
<sst xmlns="http://schemas.openxmlformats.org/spreadsheetml/2006/main" count="1068" uniqueCount="171">
  <si>
    <t>Predictive Analysis of</t>
  </si>
  <si>
    <t>Heart Value Components</t>
  </si>
  <si>
    <t>Heart Affordibility Value</t>
  </si>
  <si>
    <t>We Assume for Predictive in futre these components will increase by 5%</t>
  </si>
  <si>
    <t>Housing / GDP</t>
  </si>
  <si>
    <t>Adjusted PCI</t>
  </si>
  <si>
    <t>"= PCI*(1 - Inflation)"</t>
  </si>
  <si>
    <t>"=GDP/Population" , "Inflation"</t>
  </si>
  <si>
    <t>Health / GDP</t>
  </si>
  <si>
    <t>Adjusted HDI</t>
  </si>
  <si>
    <t>" = HDI -  Ginni"</t>
  </si>
  <si>
    <t>" = HDI ", Ginni</t>
  </si>
  <si>
    <t>Education / GDP</t>
  </si>
  <si>
    <t>Energy / GDP</t>
  </si>
  <si>
    <t>Interest of Debt / GDP</t>
  </si>
  <si>
    <t>Trade Balance / GDP</t>
  </si>
  <si>
    <t>Country's GDP/Global GDP</t>
  </si>
  <si>
    <t>Components out of This whose past will be availabe</t>
  </si>
  <si>
    <t>Country GDP</t>
  </si>
  <si>
    <t>GDP</t>
  </si>
  <si>
    <t>Global GDP</t>
  </si>
  <si>
    <t>Population</t>
  </si>
  <si>
    <t xml:space="preserve">Interest of Debt </t>
  </si>
  <si>
    <t>"= Debt"</t>
  </si>
  <si>
    <t>"= Interest Rate"</t>
  </si>
  <si>
    <t>Inflation</t>
  </si>
  <si>
    <t xml:space="preserve">Trade Balance </t>
  </si>
  <si>
    <t>"= Imports"</t>
  </si>
  <si>
    <t>"= Exports"</t>
  </si>
  <si>
    <t>HDI</t>
  </si>
  <si>
    <t>Ginni</t>
  </si>
  <si>
    <t>Heart Value Forumula</t>
  </si>
  <si>
    <t>" = ( Housing + Health + Education + Energy + Interest of Debt +- Trade Balance ) / GDP + Country's /Global GDP) "</t>
  </si>
  <si>
    <t>Heart Affordibility Value Formula</t>
  </si>
  <si>
    <t>" = (GDP* (1 - inflation) /Population)  * (HDI - Ginni))"</t>
  </si>
  <si>
    <t>Heart Score Formula</t>
  </si>
  <si>
    <t>"= HV * HAR"</t>
  </si>
  <si>
    <t>S.No</t>
  </si>
  <si>
    <t>if APCI*AHDI(US$)</t>
  </si>
  <si>
    <t>Assigned Ranking</t>
  </si>
  <si>
    <t>0-2,500</t>
  </si>
  <si>
    <t>D-</t>
  </si>
  <si>
    <t>2,501-5,000</t>
  </si>
  <si>
    <t>D</t>
  </si>
  <si>
    <t>5,001-10,000</t>
  </si>
  <si>
    <t>D+</t>
  </si>
  <si>
    <t>10,001-12,500</t>
  </si>
  <si>
    <t>C-</t>
  </si>
  <si>
    <t>12,501-15,000</t>
  </si>
  <si>
    <t>C</t>
  </si>
  <si>
    <t>15,001-20,000</t>
  </si>
  <si>
    <t>C+</t>
  </si>
  <si>
    <t>20,001-25,000</t>
  </si>
  <si>
    <t>B-</t>
  </si>
  <si>
    <t>25,001-30,000</t>
  </si>
  <si>
    <t>B</t>
  </si>
  <si>
    <t>30,001-35,000</t>
  </si>
  <si>
    <t>B+</t>
  </si>
  <si>
    <t>35,001-40,000</t>
  </si>
  <si>
    <t>A-</t>
  </si>
  <si>
    <t>40,001-50,000</t>
  </si>
  <si>
    <t>A</t>
  </si>
  <si>
    <t>50,001-100,000</t>
  </si>
  <si>
    <t>A+</t>
  </si>
  <si>
    <t>Countries</t>
  </si>
  <si>
    <t>Analysis</t>
  </si>
  <si>
    <t>USA</t>
  </si>
  <si>
    <t>INDIA</t>
  </si>
  <si>
    <t>INDONESIA</t>
  </si>
  <si>
    <t>BRAZIL</t>
  </si>
  <si>
    <t>TURKEY</t>
  </si>
  <si>
    <t>MEXICO</t>
  </si>
  <si>
    <t>CHINA</t>
  </si>
  <si>
    <t>RUSSIA</t>
  </si>
  <si>
    <t>SAUDI ARABIA</t>
  </si>
  <si>
    <t>SOUTH KOREA</t>
  </si>
  <si>
    <t>JAPAN</t>
  </si>
  <si>
    <t>SPAIN</t>
  </si>
  <si>
    <t>ITALY</t>
  </si>
  <si>
    <t>FRANCE</t>
  </si>
  <si>
    <t>UK</t>
  </si>
  <si>
    <t>CANADA</t>
  </si>
  <si>
    <t>GERMANY</t>
  </si>
  <si>
    <t>AUSTRALIA</t>
  </si>
  <si>
    <t>NETHERLAND</t>
  </si>
  <si>
    <t>SWITZERLAND</t>
  </si>
  <si>
    <t>ARGENTINA</t>
  </si>
  <si>
    <t>SOUTH AFRICA</t>
  </si>
  <si>
    <t>Assumption</t>
  </si>
  <si>
    <t>We will assume the 5 socio economic sector spending will increase by 5% every year, Socio Ecnomic Sectors are Health, Housing, Energy and Education. Based on this assumption we will predict the value of Heart next year</t>
  </si>
  <si>
    <t>Year</t>
  </si>
  <si>
    <t>Global_GDP_Growth</t>
  </si>
  <si>
    <t>Global Population</t>
  </si>
  <si>
    <t>Global_Population_Growth</t>
  </si>
  <si>
    <t>GDP_Growth_Rate</t>
  </si>
  <si>
    <t>Country Population</t>
  </si>
  <si>
    <t>Country Population_Rate</t>
  </si>
  <si>
    <t>Global GDP %</t>
  </si>
  <si>
    <t>Import</t>
  </si>
  <si>
    <t>Export</t>
  </si>
  <si>
    <t>Trade Balance</t>
  </si>
  <si>
    <t>Trade_Balance_Growth Rate</t>
  </si>
  <si>
    <t>Trade Balance to GDP</t>
  </si>
  <si>
    <t>Debt to GDP</t>
  </si>
  <si>
    <t>Debt_to_GDP_Growth</t>
  </si>
  <si>
    <t>Debt</t>
  </si>
  <si>
    <t>Interest</t>
  </si>
  <si>
    <t>Interest Payment</t>
  </si>
  <si>
    <t>Interest Payment to GDP</t>
  </si>
  <si>
    <t>PCI</t>
  </si>
  <si>
    <t>HDI_Growth</t>
  </si>
  <si>
    <t>Ginni_Growth</t>
  </si>
  <si>
    <t>Housing</t>
  </si>
  <si>
    <t>Health</t>
  </si>
  <si>
    <t>Energy</t>
  </si>
  <si>
    <t>Education</t>
  </si>
  <si>
    <t>Scio-Economic</t>
  </si>
  <si>
    <t>Heart Value</t>
  </si>
  <si>
    <t>Affordbility Ranking</t>
  </si>
  <si>
    <t>Heart Score</t>
  </si>
  <si>
    <t>We will assue the 5 socio economic sector spending will increase by 5% , Socio Ecnomic Sectors are Health, Housing, Energy and Education. Based on this assumption we will predict the value of Heart next year</t>
  </si>
  <si>
    <t>Country_GDP</t>
  </si>
  <si>
    <t>Country_GDP_Growth_Rate</t>
  </si>
  <si>
    <t>Country_Population_Growth_Rate</t>
  </si>
  <si>
    <t xml:space="preserve">We will assue the 5 socio economic sector spending will increase by 5% , Socio Ecnomic Sectors are Health, Housing, Energy and Education. Based on this assumption we will predict the value of Heart next year, In the case of Argentina we have assumed the 5% increase in inflation every year  similarly with Interest Rate. </t>
  </si>
  <si>
    <t>NOTE</t>
  </si>
  <si>
    <t>The Heart Value for 2023 as shown -0.75 because the country witnessed very high inlfation as well as interest rate for which the interest payment to GDP combined crossed 111% of the GDP resulted in negative heart value of -0.75., Due to Very high inflation rate the economic adjusted per capita income has become negative due to which HAV has aslo become negative reflecting on the Heart Score.</t>
  </si>
  <si>
    <t>The Heart Value for 2023 as shown -0.41 because the country witnessed very high inlfation as well as interest rate for which the interest payment to GDP combined crossed 89% of the GDP resulted in negative heart value of -0.41, Due to Very high inflation rate the economic adjusted per capita income has become negative due to which HAV has aslo become negative reflecting on the Heart Score.</t>
  </si>
  <si>
    <t>Country</t>
  </si>
  <si>
    <t>Data</t>
  </si>
  <si>
    <t>Sources</t>
  </si>
  <si>
    <t>Global</t>
  </si>
  <si>
    <t>GDP (current US$) - World</t>
  </si>
  <si>
    <t>Population Growth - Our World in Data</t>
  </si>
  <si>
    <t>India</t>
  </si>
  <si>
    <t xml:space="preserve">GDP </t>
  </si>
  <si>
    <t>India GDP - Worldometer</t>
  </si>
  <si>
    <t xml:space="preserve">Population </t>
  </si>
  <si>
    <t>Population, total - India</t>
  </si>
  <si>
    <t>Trade</t>
  </si>
  <si>
    <t>Exports of goods and services (current US$) - India</t>
  </si>
  <si>
    <t>India Interest Rate</t>
  </si>
  <si>
    <t>India's General Government Debt (2024) – Trends &amp; Historical Data</t>
  </si>
  <si>
    <t>India Inflation Rate | Historical Data | Chart | 1960-2024</t>
  </si>
  <si>
    <t>India Gini inequality index - data, chart | TheGlobalEconomy.com</t>
  </si>
  <si>
    <t>Specific country data | Human Development Reports</t>
  </si>
  <si>
    <t>US</t>
  </si>
  <si>
    <t>GDP (current US$) - United States</t>
  </si>
  <si>
    <t>Demographics of the United States - Wikipedia</t>
  </si>
  <si>
    <t>Total value of U.S. trade worldwide 2024| Statista</t>
  </si>
  <si>
    <t>Historical Debt Outstanding | U.S. Treasury Fiscal Data</t>
  </si>
  <si>
    <t>United States Fed Funds Interest Rate</t>
  </si>
  <si>
    <t>United States Inflation Rate</t>
  </si>
  <si>
    <t>Gini index - United States</t>
  </si>
  <si>
    <t>GDP (current US$) - United Kingdom</t>
  </si>
  <si>
    <t>Population, total - United Kingdom</t>
  </si>
  <si>
    <t>UK trade in numbers (web version) - GOV.UK</t>
  </si>
  <si>
    <t>UK government debt 2025| Statista</t>
  </si>
  <si>
    <t>Bank Rate history and data | Bank of England Database</t>
  </si>
  <si>
    <t>CPIH ANNUAL RATE 00: ALL ITEMS 2015=100 - Office for National Statistics</t>
  </si>
  <si>
    <t>Human Development Index trends, 1990–2023</t>
  </si>
  <si>
    <t>UK gini coefficient 2024| Statista</t>
  </si>
  <si>
    <t>Japan</t>
  </si>
  <si>
    <t>GDP (current US$) - Japan</t>
  </si>
  <si>
    <t>Japan Population (1950-2025)</t>
  </si>
  <si>
    <t>Imports of goods and services (current US$) - Japan</t>
  </si>
  <si>
    <t>World Economic Outlook (October 2025) - Real GDP growth</t>
  </si>
  <si>
    <t>Japan Interest Rate</t>
  </si>
  <si>
    <t>Inflation, consumer prices (annual %) - Japan</t>
  </si>
  <si>
    <t>Japan Human development - data, chart | TheGlobalEconomy.com</t>
  </si>
  <si>
    <t>Japan Gini inequality index - data, chart | TheGlobalEconomy.com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</si>
</sst>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0.000"/>
    <numFmt numFmtId="166" formatCode="0.000"/>
  </numFmts>
  <fonts count="17">
    <font>
      <sz val="10.0"/>
      <color rgb="FF000000"/>
      <name val="Arial"/>
      <scheme val="minor"/>
    </font>
    <font>
      <b/>
      <color theme="1"/>
      <name val="Arial"/>
      <scheme val="minor"/>
    </font>
    <font>
      <color theme="1"/>
      <name val="Arial"/>
      <scheme val="minor"/>
    </font>
    <font>
      <b/>
      <sz val="11.0"/>
      <color rgb="FFFFFFFF"/>
      <name val="Times New Roman"/>
    </font>
    <font>
      <b/>
      <sz val="11.0"/>
      <color rgb="FFFF0000"/>
      <name val="Times New Roman"/>
    </font>
    <font>
      <sz val="11.0"/>
      <color rgb="FFFF0000"/>
      <name val="Times New Roman"/>
    </font>
    <font>
      <sz val="11.0"/>
      <color theme="1"/>
      <name val="Times New Roman"/>
    </font>
    <font>
      <b/>
      <sz val="11.0"/>
      <color theme="1"/>
      <name val="Times New Roman"/>
    </font>
    <font>
      <b/>
      <sz val="11.0"/>
      <color rgb="FF4EA72E"/>
      <name val="Times New Roman"/>
    </font>
    <font>
      <sz val="11.0"/>
      <color rgb="FF4EA72E"/>
      <name val="Times New Roman"/>
    </font>
    <font>
      <b/>
      <sz val="14.0"/>
      <color theme="1"/>
      <name val="Times New Roman"/>
    </font>
    <font>
      <b/>
      <u/>
      <sz val="14.0"/>
      <color theme="1"/>
      <name val="Times New Roman"/>
    </font>
    <font>
      <color theme="1"/>
      <name val="Arial"/>
    </font>
    <font>
      <b/>
      <i/>
      <u/>
      <color theme="1"/>
      <name val="Arial"/>
      <scheme val="minor"/>
    </font>
    <font>
      <i/>
      <color theme="1"/>
      <name val="Arial"/>
      <scheme val="minor"/>
    </font>
    <font>
      <b/>
      <u/>
      <color theme="1"/>
      <name val="Arial"/>
      <scheme val="minor"/>
    </font>
    <font>
      <u/>
      <color rgb="FF0000FF"/>
    </font>
  </fonts>
  <fills count="6">
    <fill>
      <patternFill patternType="none"/>
    </fill>
    <fill>
      <patternFill patternType="lightGray"/>
    </fill>
    <fill>
      <patternFill patternType="solid">
        <fgColor rgb="FF7030A0"/>
        <bgColor rgb="FF7030A0"/>
      </patternFill>
    </fill>
    <fill>
      <patternFill patternType="solid">
        <fgColor rgb="FFDBE9F7"/>
        <bgColor rgb="FFDBE9F7"/>
      </patternFill>
    </fill>
    <fill>
      <patternFill patternType="solid">
        <fgColor rgb="FF00FF00"/>
        <bgColor rgb="FF00FF0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xf borderId="1" fillId="2" fontId="3" numFmtId="0" xfId="0" applyAlignment="1" applyBorder="1" applyFill="1" applyFont="1">
      <alignment horizontal="center" vertical="bottom"/>
    </xf>
    <xf borderId="1" fillId="0" fontId="4" numFmtId="0" xfId="0" applyAlignment="1" applyBorder="1" applyFont="1">
      <alignment horizontal="center" vertical="bottom"/>
    </xf>
    <xf borderId="1" fillId="0" fontId="5" numFmtId="0" xfId="0" applyAlignment="1" applyBorder="1" applyFont="1">
      <alignment horizontal="center" vertical="bottom"/>
    </xf>
    <xf borderId="1" fillId="0" fontId="6" numFmtId="0" xfId="0" applyAlignment="1" applyBorder="1" applyFont="1">
      <alignment horizontal="center" vertical="bottom"/>
    </xf>
    <xf borderId="1" fillId="0" fontId="7" numFmtId="0" xfId="0" applyAlignment="1" applyBorder="1" applyFont="1">
      <alignment horizontal="center" vertical="bottom"/>
    </xf>
    <xf borderId="1" fillId="0" fontId="8" numFmtId="0" xfId="0" applyAlignment="1" applyBorder="1" applyFont="1">
      <alignment horizontal="center" vertical="bottom"/>
    </xf>
    <xf borderId="1" fillId="0" fontId="9" numFmtId="0" xfId="0" applyAlignment="1" applyBorder="1" applyFont="1">
      <alignment horizontal="center" vertical="bottom"/>
    </xf>
    <xf borderId="0" fillId="3" fontId="10" numFmtId="0" xfId="0" applyAlignment="1" applyFill="1" applyFont="1">
      <alignment readingOrder="0" vertical="bottom"/>
    </xf>
    <xf borderId="0" fillId="3" fontId="11" numFmtId="0" xfId="0" applyAlignment="1" applyFont="1">
      <alignment vertical="bottom"/>
    </xf>
    <xf borderId="0" fillId="0" fontId="12" numFmtId="0" xfId="0" applyAlignment="1" applyFont="1">
      <alignment vertical="bottom"/>
    </xf>
    <xf borderId="0" fillId="3" fontId="10" numFmtId="0" xfId="0" applyAlignment="1" applyFont="1">
      <alignment readingOrder="0" vertical="bottom"/>
    </xf>
    <xf borderId="1" fillId="3" fontId="10" numFmtId="0" xfId="0" applyAlignment="1" applyBorder="1" applyFont="1">
      <alignment vertical="bottom"/>
    </xf>
    <xf borderId="0" fillId="3" fontId="10" numFmtId="0" xfId="0" applyAlignment="1" applyFont="1">
      <alignment horizontal="center" vertical="bottom"/>
    </xf>
    <xf borderId="0" fillId="3" fontId="10" numFmtId="0" xfId="0" applyAlignment="1" applyFont="1">
      <alignment horizontal="center" readingOrder="0" vertical="bottom"/>
    </xf>
    <xf borderId="0" fillId="0" fontId="2" numFmtId="0" xfId="0" applyAlignment="1" applyFont="1">
      <alignment readingOrder="0"/>
    </xf>
    <xf borderId="0" fillId="4" fontId="1" numFmtId="0" xfId="0" applyAlignment="1" applyFill="1" applyFont="1">
      <alignment readingOrder="0"/>
    </xf>
    <xf borderId="0" fillId="5" fontId="1" numFmtId="0" xfId="0" applyAlignment="1" applyFill="1" applyFont="1">
      <alignment readingOrder="0"/>
    </xf>
    <xf borderId="0" fillId="0" fontId="2" numFmtId="164" xfId="0" applyFont="1" applyNumberFormat="1"/>
    <xf borderId="0" fillId="0" fontId="2" numFmtId="3" xfId="0" applyFont="1" applyNumberFormat="1"/>
    <xf borderId="0" fillId="4" fontId="2" numFmtId="10" xfId="0" applyFont="1" applyNumberFormat="1"/>
    <xf borderId="0" fillId="0" fontId="2" numFmtId="10" xfId="0" applyFont="1" applyNumberFormat="1"/>
    <xf borderId="0" fillId="4" fontId="2" numFmtId="164" xfId="0" applyFont="1" applyNumberFormat="1"/>
    <xf borderId="0" fillId="4" fontId="2" numFmtId="4" xfId="0" applyFont="1" applyNumberFormat="1"/>
    <xf borderId="0" fillId="0" fontId="12" numFmtId="10" xfId="0" applyAlignment="1" applyFont="1" applyNumberFormat="1">
      <alignment horizontal="right" vertical="bottom"/>
    </xf>
    <xf borderId="0" fillId="5" fontId="2" numFmtId="4" xfId="0" applyFont="1" applyNumberFormat="1"/>
    <xf borderId="0" fillId="5" fontId="2" numFmtId="164" xfId="0" applyFont="1" applyNumberFormat="1"/>
    <xf borderId="0" fillId="0" fontId="2" numFmtId="0" xfId="0" applyFont="1"/>
    <xf borderId="0" fillId="0" fontId="2" numFmtId="10" xfId="0" applyAlignment="1" applyFont="1" applyNumberFormat="1">
      <alignment readingOrder="0"/>
    </xf>
    <xf borderId="0" fillId="0" fontId="2" numFmtId="3" xfId="0" applyAlignment="1" applyFont="1" applyNumberFormat="1">
      <alignment readingOrder="0"/>
    </xf>
    <xf borderId="0" fillId="0" fontId="2" numFmtId="164" xfId="0" applyAlignment="1" applyFont="1" applyNumberFormat="1">
      <alignment readingOrder="0"/>
    </xf>
    <xf borderId="0" fillId="0" fontId="13" numFmtId="0" xfId="0" applyAlignment="1" applyFont="1">
      <alignment readingOrder="0"/>
    </xf>
    <xf borderId="0" fillId="0" fontId="14" numFmtId="10" xfId="0" applyFont="1" applyNumberFormat="1"/>
    <xf borderId="0" fillId="0" fontId="14" numFmtId="164" xfId="0" applyFont="1" applyNumberFormat="1"/>
    <xf borderId="0" fillId="0" fontId="2" numFmtId="4" xfId="0" applyFont="1" applyNumberFormat="1"/>
    <xf borderId="0" fillId="0" fontId="2" numFmtId="165" xfId="0" applyFont="1" applyNumberFormat="1"/>
    <xf borderId="0" fillId="5" fontId="2" numFmtId="165" xfId="0" applyFont="1" applyNumberFormat="1"/>
    <xf borderId="0" fillId="0" fontId="2" numFmtId="9" xfId="0" applyAlignment="1" applyFont="1" applyNumberFormat="1">
      <alignment readingOrder="0"/>
    </xf>
    <xf borderId="0" fillId="0" fontId="2" numFmtId="166" xfId="0" applyAlignment="1" applyFont="1" applyNumberFormat="1">
      <alignment readingOrder="0"/>
    </xf>
    <xf borderId="0" fillId="0" fontId="2" numFmtId="166" xfId="0" applyFont="1" applyNumberFormat="1"/>
    <xf borderId="0" fillId="0" fontId="2" numFmtId="2" xfId="0" applyAlignment="1" applyFont="1" applyNumberFormat="1">
      <alignment readingOrder="0"/>
    </xf>
    <xf borderId="0" fillId="0" fontId="2" numFmtId="2" xfId="0" applyFont="1" applyNumberFormat="1"/>
    <xf borderId="0" fillId="0" fontId="1" numFmtId="0" xfId="0" applyAlignment="1" applyFont="1">
      <alignment horizontal="center" readingOrder="0"/>
    </xf>
    <xf borderId="0" fillId="0" fontId="2" numFmtId="11" xfId="0" applyAlignment="1" applyFont="1" applyNumberFormat="1">
      <alignment readingOrder="0"/>
    </xf>
    <xf borderId="0" fillId="0" fontId="1" numFmtId="11" xfId="0" applyAlignment="1" applyFont="1" applyNumberFormat="1">
      <alignment horizontal="center" readingOrder="0"/>
    </xf>
    <xf borderId="0" fillId="0" fontId="15" numFmtId="0" xfId="0" applyAlignment="1" applyFont="1">
      <alignment readingOrder="0"/>
    </xf>
    <xf borderId="0" fillId="0" fontId="16"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0" Type="http://schemas.openxmlformats.org/officeDocument/2006/relationships/hyperlink" Target="https://data.worldbank.org/indicator/SP.POP.TOTL?locations=GB" TargetMode="External"/><Relationship Id="rId22" Type="http://schemas.openxmlformats.org/officeDocument/2006/relationships/hyperlink" Target="https://www.statista.com/statistics/282841/debt-as-gdp-uk/?srsltid=AfmBOorm5nx6v5FWq6ZLKZ2gYe1kwlASPkzUE7YlgAZnX870x7ELH4rf" TargetMode="External"/><Relationship Id="rId21" Type="http://schemas.openxmlformats.org/officeDocument/2006/relationships/hyperlink" Target="https://www.gov.uk/government/statistics/uk-trade-in-numbers/uk-trade-in-numbers-web-version" TargetMode="External"/><Relationship Id="rId24" Type="http://schemas.openxmlformats.org/officeDocument/2006/relationships/hyperlink" Target="https://www.ons.gov.uk/economy/inflationandpriceindices/timeseries/l55o/mm23" TargetMode="External"/><Relationship Id="rId23" Type="http://schemas.openxmlformats.org/officeDocument/2006/relationships/hyperlink" Target="https://www.bankofengland.co.uk/boeapps/database/Bank-Rate.asp" TargetMode="External"/><Relationship Id="rId1" Type="http://schemas.openxmlformats.org/officeDocument/2006/relationships/hyperlink" Target="https://data.worldbank.org/indicator/NY.GDP.MKTP.CD?locations=1W" TargetMode="External"/><Relationship Id="rId2" Type="http://schemas.openxmlformats.org/officeDocument/2006/relationships/hyperlink" Target="https://ourworldindata.org/population-growth" TargetMode="External"/><Relationship Id="rId3" Type="http://schemas.openxmlformats.org/officeDocument/2006/relationships/hyperlink" Target="https://www.worldometers.info/gdp/india-gdp/" TargetMode="External"/><Relationship Id="rId4" Type="http://schemas.openxmlformats.org/officeDocument/2006/relationships/hyperlink" Target="https://data.worldbank.org/indicator/SP.POP.TOTL?locations=IN" TargetMode="External"/><Relationship Id="rId9" Type="http://schemas.openxmlformats.org/officeDocument/2006/relationships/hyperlink" Target="https://www.theglobaleconomy.com/India/gini_inequality_index/" TargetMode="External"/><Relationship Id="rId26" Type="http://schemas.openxmlformats.org/officeDocument/2006/relationships/hyperlink" Target="https://www.statista.com/statistics/872472/gini-index-of-the-united-kingdom/?srsltid=AfmBOoq9muTlwrwqx9NVwXwq60UjGjgvSaIPVp-MwhMC-pQGWIjRfNJB" TargetMode="External"/><Relationship Id="rId25" Type="http://schemas.openxmlformats.org/officeDocument/2006/relationships/hyperlink" Target="https://hdr.undp.org/sites/default/files/2025_HDR/HDR25_Statistical_Annex_HDI_Trends_Table.pdf" TargetMode="External"/><Relationship Id="rId28" Type="http://schemas.openxmlformats.org/officeDocument/2006/relationships/hyperlink" Target="https://www.macrotrends.net/global-metrics/countries/jpn/japan/population" TargetMode="External"/><Relationship Id="rId27" Type="http://schemas.openxmlformats.org/officeDocument/2006/relationships/hyperlink" Target="https://data.worldbank.org/indicator/NY.GDP.MKTP.CD?locations=JP" TargetMode="External"/><Relationship Id="rId5" Type="http://schemas.openxmlformats.org/officeDocument/2006/relationships/hyperlink" Target="https://data.worldbank.org/indicator/NE.EXP.GNFS.CD?locations=IN" TargetMode="External"/><Relationship Id="rId6" Type="http://schemas.openxmlformats.org/officeDocument/2006/relationships/hyperlink" Target="https://tradingeconomics.com/india/interest-rate" TargetMode="External"/><Relationship Id="rId29" Type="http://schemas.openxmlformats.org/officeDocument/2006/relationships/hyperlink" Target="https://data.worldbank.org/indicator/NE.IMP.GNFS.CD?locations=JP" TargetMode="External"/><Relationship Id="rId7" Type="http://schemas.openxmlformats.org/officeDocument/2006/relationships/hyperlink" Target="https://worldscorecard.com/scorecards/indian-scorecard/gg-debt-gdp/" TargetMode="External"/><Relationship Id="rId8" Type="http://schemas.openxmlformats.org/officeDocument/2006/relationships/hyperlink" Target="https://www.macrotrends.net/datasets/global-metrics/countries/ind/india/inflation-rate-cpi" TargetMode="External"/><Relationship Id="rId31" Type="http://schemas.openxmlformats.org/officeDocument/2006/relationships/hyperlink" Target="https://tradingeconomics.com/japan/interest-rate" TargetMode="External"/><Relationship Id="rId30" Type="http://schemas.openxmlformats.org/officeDocument/2006/relationships/hyperlink" Target="https://www.imf.org/external/datamapper/GGXWDG_NGDP@WEO/JPN?zoom=JPN&amp;highlight=JPN" TargetMode="External"/><Relationship Id="rId11" Type="http://schemas.openxmlformats.org/officeDocument/2006/relationships/hyperlink" Target="https://data.worldbank.org/indicator/NY.GDP.MKTP.CD?locations=US" TargetMode="External"/><Relationship Id="rId33" Type="http://schemas.openxmlformats.org/officeDocument/2006/relationships/hyperlink" Target="https://www.theglobaleconomy.com/Japan/human_development/" TargetMode="External"/><Relationship Id="rId10" Type="http://schemas.openxmlformats.org/officeDocument/2006/relationships/hyperlink" Target="https://hdr.undp.org/data-center/specific-country-data" TargetMode="External"/><Relationship Id="rId32" Type="http://schemas.openxmlformats.org/officeDocument/2006/relationships/hyperlink" Target="https://data.worldbank.org/indicator/FP.CPI.TOTL.ZG?locations=JP" TargetMode="External"/><Relationship Id="rId13" Type="http://schemas.openxmlformats.org/officeDocument/2006/relationships/hyperlink" Target="https://www.statista.com/statistics/218255/total-value-of-us-trade-in-goods-worldwide-since-2004/?srsltid=AfmBOorhkdxKdvhWWDCzbGLg32JyEXUnJ74CwTKoBbeLUrFdVknGqhQ5" TargetMode="External"/><Relationship Id="rId35" Type="http://schemas.openxmlformats.org/officeDocument/2006/relationships/drawing" Target="../drawings/drawing26.xml"/><Relationship Id="rId12" Type="http://schemas.openxmlformats.org/officeDocument/2006/relationships/hyperlink" Target="https://en.wikipedia.org/wiki/Demographics_of_the_United_States" TargetMode="External"/><Relationship Id="rId34" Type="http://schemas.openxmlformats.org/officeDocument/2006/relationships/hyperlink" Target="https://www.theglobaleconomy.com/Japan/gini_inequality_index/" TargetMode="External"/><Relationship Id="rId15" Type="http://schemas.openxmlformats.org/officeDocument/2006/relationships/hyperlink" Target="https://tradingeconomics.com/united-states/interest-rate" TargetMode="External"/><Relationship Id="rId14" Type="http://schemas.openxmlformats.org/officeDocument/2006/relationships/hyperlink" Target="https://fiscaldata.treasury.gov/datasets/historical-debt-outstanding/historical-debt-outstanding" TargetMode="External"/><Relationship Id="rId17" Type="http://schemas.openxmlformats.org/officeDocument/2006/relationships/hyperlink" Target="https://data.worldbank.org/indicator/SI.POV.GINI?locations=US" TargetMode="External"/><Relationship Id="rId16" Type="http://schemas.openxmlformats.org/officeDocument/2006/relationships/hyperlink" Target="https://tradingeconomics.com/united-states/inflation-cpi" TargetMode="External"/><Relationship Id="rId19" Type="http://schemas.openxmlformats.org/officeDocument/2006/relationships/hyperlink" Target="https://data.worldbank.org/indicator/NY.GDP.MKTP.CD?locations=GB" TargetMode="External"/><Relationship Id="rId18" Type="http://schemas.openxmlformats.org/officeDocument/2006/relationships/hyperlink" Target="https://hdr.undp.org/data-center/specific-country-dat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6.38"/>
  </cols>
  <sheetData>
    <row r="1">
      <c r="A1" s="1" t="s">
        <v>0</v>
      </c>
      <c r="D1" s="1" t="s">
        <v>1</v>
      </c>
      <c r="H1" s="1" t="s">
        <v>2</v>
      </c>
    </row>
    <row r="2">
      <c r="C2" s="2" t="s">
        <v>3</v>
      </c>
      <c r="D2" s="3" t="s">
        <v>4</v>
      </c>
      <c r="H2" s="3" t="s">
        <v>5</v>
      </c>
      <c r="I2" s="3" t="s">
        <v>6</v>
      </c>
      <c r="J2" s="3" t="s">
        <v>7</v>
      </c>
    </row>
    <row r="3">
      <c r="D3" s="3" t="s">
        <v>8</v>
      </c>
      <c r="H3" s="3" t="s">
        <v>9</v>
      </c>
      <c r="I3" s="3" t="s">
        <v>10</v>
      </c>
      <c r="J3" s="3" t="s">
        <v>11</v>
      </c>
    </row>
    <row r="4">
      <c r="D4" s="3" t="s">
        <v>12</v>
      </c>
    </row>
    <row r="5">
      <c r="D5" s="3" t="s">
        <v>13</v>
      </c>
    </row>
    <row r="6">
      <c r="D6" s="3" t="s">
        <v>14</v>
      </c>
    </row>
    <row r="7">
      <c r="D7" s="3" t="s">
        <v>15</v>
      </c>
    </row>
    <row r="8">
      <c r="D8" s="3" t="s">
        <v>16</v>
      </c>
    </row>
    <row r="11">
      <c r="D11" s="1" t="s">
        <v>17</v>
      </c>
      <c r="H11" s="1" t="s">
        <v>17</v>
      </c>
    </row>
    <row r="12">
      <c r="D12" s="3" t="s">
        <v>18</v>
      </c>
      <c r="H12" s="3" t="s">
        <v>19</v>
      </c>
    </row>
    <row r="13">
      <c r="D13" s="3" t="s">
        <v>20</v>
      </c>
      <c r="H13" s="3" t="s">
        <v>21</v>
      </c>
    </row>
    <row r="14">
      <c r="D14" s="3" t="s">
        <v>22</v>
      </c>
      <c r="E14" s="3" t="s">
        <v>23</v>
      </c>
      <c r="F14" s="3" t="s">
        <v>24</v>
      </c>
      <c r="H14" s="3" t="s">
        <v>25</v>
      </c>
    </row>
    <row r="15">
      <c r="D15" s="3" t="s">
        <v>26</v>
      </c>
      <c r="E15" s="3" t="s">
        <v>27</v>
      </c>
      <c r="F15" s="3" t="s">
        <v>28</v>
      </c>
      <c r="H15" s="3" t="s">
        <v>29</v>
      </c>
    </row>
    <row r="16">
      <c r="H16" s="3" t="s">
        <v>30</v>
      </c>
    </row>
    <row r="19">
      <c r="A19" s="1" t="s">
        <v>31</v>
      </c>
    </row>
    <row r="20">
      <c r="A20" s="3" t="s">
        <v>32</v>
      </c>
    </row>
    <row r="22">
      <c r="A22" s="1" t="s">
        <v>33</v>
      </c>
    </row>
    <row r="23">
      <c r="A23" s="3" t="s">
        <v>34</v>
      </c>
    </row>
    <row r="25">
      <c r="A25" s="1" t="s">
        <v>35</v>
      </c>
    </row>
    <row r="26">
      <c r="A26" s="3" t="s">
        <v>36</v>
      </c>
    </row>
  </sheetData>
  <mergeCells count="1">
    <mergeCell ref="C2:C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7.25"/>
    <col customWidth="1" min="3" max="3" width="15.25"/>
  </cols>
  <sheetData>
    <row r="1">
      <c r="A1" s="4" t="s">
        <v>37</v>
      </c>
      <c r="B1" s="4" t="s">
        <v>38</v>
      </c>
      <c r="C1" s="4" t="s">
        <v>39</v>
      </c>
    </row>
    <row r="2">
      <c r="A2" s="4">
        <v>1.0</v>
      </c>
      <c r="B2" s="5" t="s">
        <v>40</v>
      </c>
      <c r="C2" s="6" t="s">
        <v>41</v>
      </c>
    </row>
    <row r="3">
      <c r="A3" s="7">
        <v>2.0</v>
      </c>
      <c r="B3" s="8" t="s">
        <v>42</v>
      </c>
      <c r="C3" s="7" t="s">
        <v>43</v>
      </c>
    </row>
    <row r="4">
      <c r="A4" s="7">
        <v>3.0</v>
      </c>
      <c r="B4" s="8" t="s">
        <v>44</v>
      </c>
      <c r="C4" s="7" t="s">
        <v>45</v>
      </c>
    </row>
    <row r="5">
      <c r="A5" s="4">
        <v>4.0</v>
      </c>
      <c r="B5" s="8" t="s">
        <v>46</v>
      </c>
      <c r="C5" s="7" t="s">
        <v>47</v>
      </c>
    </row>
    <row r="6">
      <c r="A6" s="7">
        <v>5.0</v>
      </c>
      <c r="B6" s="8" t="s">
        <v>48</v>
      </c>
      <c r="C6" s="7" t="s">
        <v>49</v>
      </c>
    </row>
    <row r="7">
      <c r="A7" s="7">
        <v>6.0</v>
      </c>
      <c r="B7" s="8" t="s">
        <v>50</v>
      </c>
      <c r="C7" s="7" t="s">
        <v>51</v>
      </c>
    </row>
    <row r="8">
      <c r="A8" s="4">
        <v>7.0</v>
      </c>
      <c r="B8" s="8" t="s">
        <v>52</v>
      </c>
      <c r="C8" s="7" t="s">
        <v>53</v>
      </c>
    </row>
    <row r="9">
      <c r="A9" s="7">
        <v>8.0</v>
      </c>
      <c r="B9" s="8" t="s">
        <v>54</v>
      </c>
      <c r="C9" s="7" t="s">
        <v>55</v>
      </c>
    </row>
    <row r="10">
      <c r="A10" s="7">
        <v>9.0</v>
      </c>
      <c r="B10" s="8" t="s">
        <v>56</v>
      </c>
      <c r="C10" s="7" t="s">
        <v>57</v>
      </c>
    </row>
    <row r="11">
      <c r="A11" s="4">
        <v>10.0</v>
      </c>
      <c r="B11" s="8" t="s">
        <v>58</v>
      </c>
      <c r="C11" s="7" t="s">
        <v>59</v>
      </c>
    </row>
    <row r="12">
      <c r="A12" s="7">
        <v>11.0</v>
      </c>
      <c r="B12" s="8" t="s">
        <v>60</v>
      </c>
      <c r="C12" s="7" t="s">
        <v>61</v>
      </c>
    </row>
    <row r="13">
      <c r="A13" s="7">
        <v>12.0</v>
      </c>
      <c r="B13" s="9" t="s">
        <v>62</v>
      </c>
      <c r="C13" s="10" t="s">
        <v>63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8.88"/>
  </cols>
  <sheetData>
    <row r="1">
      <c r="A1" s="11" t="s">
        <v>37</v>
      </c>
      <c r="B1" s="12" t="s">
        <v>64</v>
      </c>
      <c r="C1" s="12" t="s">
        <v>65</v>
      </c>
      <c r="D1" s="13"/>
    </row>
    <row r="2">
      <c r="A2" s="14">
        <v>1.0</v>
      </c>
      <c r="B2" s="15" t="s">
        <v>66</v>
      </c>
      <c r="C2" s="16" t="b">
        <v>1</v>
      </c>
      <c r="D2" s="13"/>
    </row>
    <row r="3">
      <c r="A3" s="14">
        <v>2.0</v>
      </c>
      <c r="B3" s="15" t="s">
        <v>67</v>
      </c>
      <c r="C3" s="16" t="b">
        <v>1</v>
      </c>
      <c r="D3" s="13"/>
    </row>
    <row r="4">
      <c r="A4" s="14">
        <v>3.0</v>
      </c>
      <c r="B4" s="15" t="s">
        <v>68</v>
      </c>
      <c r="C4" s="17" t="b">
        <v>1</v>
      </c>
      <c r="D4" s="13"/>
    </row>
    <row r="5">
      <c r="A5" s="14">
        <v>4.0</v>
      </c>
      <c r="B5" s="15" t="s">
        <v>69</v>
      </c>
      <c r="C5" s="17" t="b">
        <v>1</v>
      </c>
      <c r="D5" s="13"/>
    </row>
    <row r="6">
      <c r="A6" s="14">
        <v>5.0</v>
      </c>
      <c r="B6" s="15" t="s">
        <v>70</v>
      </c>
      <c r="C6" s="17" t="b">
        <v>1</v>
      </c>
      <c r="D6" s="13"/>
    </row>
    <row r="7">
      <c r="A7" s="14">
        <v>6.0</v>
      </c>
      <c r="B7" s="15" t="s">
        <v>71</v>
      </c>
      <c r="C7" s="17" t="b">
        <v>1</v>
      </c>
      <c r="D7" s="13"/>
    </row>
    <row r="8">
      <c r="A8" s="14">
        <v>7.0</v>
      </c>
      <c r="B8" s="15" t="s">
        <v>72</v>
      </c>
      <c r="C8" s="16" t="b">
        <v>1</v>
      </c>
      <c r="D8" s="13"/>
    </row>
    <row r="9">
      <c r="A9" s="14">
        <v>8.0</v>
      </c>
      <c r="B9" s="15" t="s">
        <v>73</v>
      </c>
      <c r="C9" s="17" t="b">
        <v>1</v>
      </c>
      <c r="D9" s="13"/>
    </row>
    <row r="10">
      <c r="A10" s="14">
        <v>9.0</v>
      </c>
      <c r="B10" s="15" t="s">
        <v>74</v>
      </c>
      <c r="C10" s="17" t="b">
        <v>1</v>
      </c>
      <c r="D10" s="13"/>
    </row>
    <row r="11">
      <c r="A11" s="14">
        <v>10.0</v>
      </c>
      <c r="B11" s="15" t="s">
        <v>75</v>
      </c>
      <c r="C11" s="17" t="b">
        <v>1</v>
      </c>
      <c r="D11" s="13"/>
    </row>
    <row r="12">
      <c r="A12" s="14">
        <v>11.0</v>
      </c>
      <c r="B12" s="15" t="s">
        <v>76</v>
      </c>
      <c r="C12" s="16" t="b">
        <v>1</v>
      </c>
      <c r="D12" s="13"/>
    </row>
    <row r="13">
      <c r="A13" s="14">
        <v>12.0</v>
      </c>
      <c r="B13" s="15" t="s">
        <v>77</v>
      </c>
      <c r="C13" s="17" t="b">
        <v>1</v>
      </c>
      <c r="D13" s="13"/>
    </row>
    <row r="14">
      <c r="A14" s="14">
        <v>13.0</v>
      </c>
      <c r="B14" s="15" t="s">
        <v>78</v>
      </c>
      <c r="C14" s="17" t="b">
        <v>1</v>
      </c>
      <c r="D14" s="13"/>
    </row>
    <row r="15">
      <c r="A15" s="14">
        <v>14.0</v>
      </c>
      <c r="B15" s="15" t="s">
        <v>79</v>
      </c>
      <c r="C15" s="17" t="b">
        <v>1</v>
      </c>
      <c r="D15" s="13"/>
    </row>
    <row r="16">
      <c r="A16" s="14">
        <v>15.0</v>
      </c>
      <c r="B16" s="15" t="s">
        <v>80</v>
      </c>
      <c r="C16" s="16" t="b">
        <v>1</v>
      </c>
      <c r="D16" s="13"/>
    </row>
    <row r="17">
      <c r="A17" s="14">
        <v>16.0</v>
      </c>
      <c r="B17" s="15" t="s">
        <v>81</v>
      </c>
      <c r="C17" s="17" t="b">
        <v>1</v>
      </c>
      <c r="D17" s="13"/>
    </row>
    <row r="18">
      <c r="A18" s="14">
        <v>17.0</v>
      </c>
      <c r="B18" s="15" t="s">
        <v>82</v>
      </c>
      <c r="C18" s="16" t="b">
        <v>1</v>
      </c>
      <c r="D18" s="13"/>
    </row>
    <row r="19">
      <c r="A19" s="14">
        <v>18.0</v>
      </c>
      <c r="B19" s="15" t="s">
        <v>83</v>
      </c>
      <c r="C19" s="17" t="b">
        <v>1</v>
      </c>
      <c r="D19" s="13"/>
    </row>
    <row r="20">
      <c r="A20" s="14">
        <v>19.0</v>
      </c>
      <c r="B20" s="15" t="s">
        <v>84</v>
      </c>
      <c r="C20" s="17" t="b">
        <v>1</v>
      </c>
      <c r="D20" s="13"/>
    </row>
    <row r="21">
      <c r="A21" s="14">
        <v>20.0</v>
      </c>
      <c r="B21" s="15" t="s">
        <v>85</v>
      </c>
      <c r="C21" s="17" t="b">
        <v>1</v>
      </c>
      <c r="D21" s="13"/>
    </row>
    <row r="22">
      <c r="A22" s="14">
        <v>21.0</v>
      </c>
      <c r="B22" s="15" t="s">
        <v>86</v>
      </c>
      <c r="C22" s="17" t="b">
        <v>1</v>
      </c>
      <c r="D22" s="13"/>
    </row>
    <row r="23">
      <c r="A23" s="14">
        <v>22.0</v>
      </c>
      <c r="B23" s="15" t="s">
        <v>87</v>
      </c>
      <c r="C23" s="17" t="b">
        <v>1</v>
      </c>
      <c r="D23"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3" width="17.63"/>
    <col customWidth="1" min="4" max="4" width="15.25"/>
    <col customWidth="1" min="5" max="5" width="22.5"/>
    <col customWidth="1" min="6" max="7" width="15.88"/>
    <col customWidth="1" min="8" max="8" width="16.5"/>
    <col customWidth="1" min="9" max="9" width="21.0"/>
    <col customWidth="1" min="11" max="11" width="15.88"/>
    <col customWidth="1" min="12" max="12" width="14.38"/>
    <col customWidth="1" min="13" max="13" width="14.13"/>
    <col customWidth="1" min="14" max="14" width="23.63"/>
    <col customWidth="1" min="15" max="15" width="18.38"/>
    <col customWidth="1" min="16" max="16" width="14.38"/>
    <col customWidth="1" min="17" max="17" width="18.5"/>
    <col customWidth="1" min="18" max="18" width="15.88"/>
    <col customWidth="1" min="20" max="20" width="14.38"/>
    <col customWidth="1" min="21" max="21" width="20.5"/>
    <col customWidth="1" min="36" max="36" width="19.88"/>
    <col customWidth="1" min="37" max="37" width="16.88"/>
  </cols>
  <sheetData>
    <row r="1">
      <c r="A1" s="1" t="s">
        <v>88</v>
      </c>
      <c r="B1" s="18" t="s">
        <v>89</v>
      </c>
    </row>
    <row r="2">
      <c r="A2" s="1" t="s">
        <v>90</v>
      </c>
      <c r="B2" s="1" t="s">
        <v>20</v>
      </c>
      <c r="C2" s="1" t="s">
        <v>91</v>
      </c>
      <c r="D2" s="1" t="s">
        <v>92</v>
      </c>
      <c r="E2" s="1" t="s">
        <v>93</v>
      </c>
      <c r="F2" s="1" t="s">
        <v>19</v>
      </c>
      <c r="G2" s="1" t="s">
        <v>94</v>
      </c>
      <c r="H2" s="1" t="s">
        <v>95</v>
      </c>
      <c r="I2" s="1" t="s">
        <v>96</v>
      </c>
      <c r="J2" s="19" t="s">
        <v>97</v>
      </c>
      <c r="K2" s="1" t="s">
        <v>98</v>
      </c>
      <c r="L2" s="1" t="s">
        <v>99</v>
      </c>
      <c r="M2" s="1" t="s">
        <v>100</v>
      </c>
      <c r="N2" s="1" t="s">
        <v>101</v>
      </c>
      <c r="O2" s="19" t="s">
        <v>102</v>
      </c>
      <c r="P2" s="1" t="s">
        <v>103</v>
      </c>
      <c r="Q2" s="1" t="s">
        <v>104</v>
      </c>
      <c r="R2" s="1" t="s">
        <v>105</v>
      </c>
      <c r="S2" s="1" t="s">
        <v>106</v>
      </c>
      <c r="T2" s="1" t="s">
        <v>107</v>
      </c>
      <c r="U2" s="19" t="s">
        <v>108</v>
      </c>
      <c r="V2" s="1" t="s">
        <v>25</v>
      </c>
      <c r="W2" s="1" t="s">
        <v>109</v>
      </c>
      <c r="X2" s="19" t="s">
        <v>5</v>
      </c>
      <c r="Y2" s="1" t="s">
        <v>29</v>
      </c>
      <c r="Z2" s="1" t="s">
        <v>110</v>
      </c>
      <c r="AA2" s="1" t="s">
        <v>30</v>
      </c>
      <c r="AB2" s="1" t="s">
        <v>111</v>
      </c>
      <c r="AC2" s="19" t="s">
        <v>9</v>
      </c>
      <c r="AD2" s="1" t="s">
        <v>112</v>
      </c>
      <c r="AE2" s="1" t="s">
        <v>113</v>
      </c>
      <c r="AF2" s="1" t="s">
        <v>114</v>
      </c>
      <c r="AG2" s="1" t="s">
        <v>115</v>
      </c>
      <c r="AH2" s="19" t="s">
        <v>116</v>
      </c>
      <c r="AI2" s="20" t="s">
        <v>117</v>
      </c>
      <c r="AJ2" s="20" t="s">
        <v>2</v>
      </c>
      <c r="AK2" s="1" t="s">
        <v>118</v>
      </c>
      <c r="AL2" s="1" t="s">
        <v>119</v>
      </c>
    </row>
    <row r="3">
      <c r="A3" s="1">
        <v>2019.0</v>
      </c>
      <c r="B3" s="21">
        <f>87.7*1000000000000</f>
        <v>87700000000000</v>
      </c>
      <c r="C3" s="21"/>
      <c r="D3" s="22">
        <f>7.81*10^9</f>
        <v>7810000000</v>
      </c>
      <c r="E3" s="22"/>
      <c r="F3" s="21">
        <v>2.84E12</v>
      </c>
      <c r="G3" s="21"/>
      <c r="H3" s="22">
        <v>1.39E9</v>
      </c>
      <c r="I3" s="22"/>
      <c r="J3" s="23">
        <f t="shared" ref="J3:J14" si="2">F3/B3</f>
        <v>0.03238312429</v>
      </c>
      <c r="K3" s="21">
        <v>6.32E11</v>
      </c>
      <c r="L3" s="21">
        <v>5.38E11</v>
      </c>
      <c r="M3" s="21">
        <f t="shared" ref="M3:M9" si="3">L3-K3</f>
        <v>-94000000000</v>
      </c>
      <c r="N3" s="21"/>
      <c r="O3" s="23">
        <f t="shared" ref="O3:O14" si="4">M3/F3</f>
        <v>-0.03309859155</v>
      </c>
      <c r="P3" s="24">
        <v>0.75</v>
      </c>
      <c r="Q3" s="24"/>
      <c r="R3" s="21">
        <f t="shared" ref="R3:R14" si="5">P3*F3</f>
        <v>2130000000000</v>
      </c>
      <c r="S3" s="24">
        <v>0.0625</v>
      </c>
      <c r="T3" s="21">
        <f t="shared" ref="T3:T14" si="6">R3*S3</f>
        <v>133125000000</v>
      </c>
      <c r="U3" s="23">
        <f t="shared" ref="U3:U14" si="7">T3/F3</f>
        <v>0.046875</v>
      </c>
      <c r="V3" s="24">
        <v>0.0373</v>
      </c>
      <c r="W3" s="21">
        <f t="shared" ref="W3:W14" si="8">F3/H3</f>
        <v>2043.165468</v>
      </c>
      <c r="X3" s="25">
        <f t="shared" ref="X3:X14" si="9">W3*(1-V3)</f>
        <v>1966.955396</v>
      </c>
      <c r="Y3" s="3">
        <v>0.651</v>
      </c>
      <c r="Z3" s="3"/>
      <c r="AA3" s="3">
        <v>0.338</v>
      </c>
      <c r="AB3" s="3"/>
      <c r="AC3" s="26">
        <f t="shared" ref="AC3:AC14" si="10">Y3-AA3</f>
        <v>0.313</v>
      </c>
      <c r="AD3" s="27">
        <f t="shared" ref="AD3:AG3" si="1">AD4+($AH3-$AH4)/4</f>
        <v>0.06668831975</v>
      </c>
      <c r="AE3" s="27">
        <f t="shared" si="1"/>
        <v>0.01168830423</v>
      </c>
      <c r="AF3" s="27">
        <f t="shared" si="1"/>
        <v>0.03668820273</v>
      </c>
      <c r="AG3" s="27">
        <f t="shared" si="1"/>
        <v>0.03268821897</v>
      </c>
      <c r="AH3" s="23">
        <f t="shared" ref="AH3:AH8" si="12">AH4*95%</f>
        <v>0.1477530457</v>
      </c>
      <c r="AI3" s="28">
        <f t="shared" ref="AI3:AI14" si="13">AH3+J3+O3-U3</f>
        <v>0.1001625784</v>
      </c>
      <c r="AJ3" s="29">
        <f t="shared" ref="AJ3:AJ14" si="14">X3*AC3</f>
        <v>615.6570388</v>
      </c>
      <c r="AK3" s="30" t="str">
        <f t="shared" ref="AK3:AK14" si="15">IFS(
AJ3&lt;=2500,"D-",
AJ3&lt;=5000,"D",
AJ3&lt;=10000,"D+",
AJ3&lt;=12500,"C-",
AJ3&lt;=15000,"C",
AJ3&lt;=20000,"C+",
AJ3&lt;=25000,"B-",
AJ3&lt;=30000,"B",
AJ3&lt;=35000,"B+",
AJ3&lt;=40000,"A-",
AJ3&lt;=50000,"A",
AJ3&lt;=100000,"A+",
TRUE,"Out of range"
)
</f>
        <v>D-</v>
      </c>
      <c r="AL3" s="30" t="str">
        <f t="shared" ref="AL3:AL14" si="16">CONCAT(ROUND(AI3,2),AK3)</f>
        <v>0.1D-</v>
      </c>
    </row>
    <row r="4">
      <c r="A4" s="1">
        <v>2020.0</v>
      </c>
      <c r="B4" s="21">
        <f>84.75*1000000000000</f>
        <v>84750000000000</v>
      </c>
      <c r="C4" s="24">
        <f t="shared" ref="C4:C13" si="17">(B4-B3)/B3</f>
        <v>-0.03363740023</v>
      </c>
      <c r="D4" s="22">
        <f>7.89*10^9</f>
        <v>7890000000</v>
      </c>
      <c r="E4" s="24">
        <f t="shared" ref="E4:E13" si="18">(D4-D3)/D3</f>
        <v>0.01024327785</v>
      </c>
      <c r="F4" s="21">
        <v>2.67E12</v>
      </c>
      <c r="G4" s="24">
        <f t="shared" ref="G4:G13" si="19">(F4-F3)/F3</f>
        <v>-0.05985915493</v>
      </c>
      <c r="H4" s="22">
        <v>1.4E9</v>
      </c>
      <c r="I4" s="24">
        <f t="shared" ref="I4:I13" si="20">(H4-H3)/H3</f>
        <v>0.007194244604</v>
      </c>
      <c r="J4" s="23">
        <f t="shared" si="2"/>
        <v>0.03150442478</v>
      </c>
      <c r="K4" s="21">
        <v>5.46E11</v>
      </c>
      <c r="L4" s="21">
        <v>4.97E11</v>
      </c>
      <c r="M4" s="21">
        <f t="shared" si="3"/>
        <v>-49000000000</v>
      </c>
      <c r="N4" s="24">
        <f t="shared" ref="N4:N14" si="21">(M4-M3)/M3</f>
        <v>-0.4787234043</v>
      </c>
      <c r="O4" s="23">
        <f t="shared" si="4"/>
        <v>-0.01835205993</v>
      </c>
      <c r="P4" s="24">
        <v>0.884</v>
      </c>
      <c r="Q4" s="24">
        <f t="shared" ref="Q4:Q13" si="22">(P4-P3)/P3</f>
        <v>0.1786666667</v>
      </c>
      <c r="R4" s="21">
        <f t="shared" si="5"/>
        <v>2360280000000</v>
      </c>
      <c r="S4" s="24">
        <v>0.044000000000000004</v>
      </c>
      <c r="T4" s="21">
        <f t="shared" si="6"/>
        <v>103852320000</v>
      </c>
      <c r="U4" s="23">
        <f t="shared" si="7"/>
        <v>0.038896</v>
      </c>
      <c r="V4" s="24">
        <v>0.0662</v>
      </c>
      <c r="W4" s="21">
        <f t="shared" si="8"/>
        <v>1907.142857</v>
      </c>
      <c r="X4" s="25">
        <f t="shared" si="9"/>
        <v>1780.89</v>
      </c>
      <c r="Y4" s="3">
        <v>0.652</v>
      </c>
      <c r="Z4" s="31">
        <f t="shared" ref="Z4:Z13" si="23">(Y4-Y3)/Y3</f>
        <v>0.00153609831</v>
      </c>
      <c r="AA4" s="3">
        <v>0.338</v>
      </c>
      <c r="AB4" s="31">
        <f t="shared" ref="AB4:AB13" si="24">(AA4-AA3)/AA4</f>
        <v>0</v>
      </c>
      <c r="AC4" s="26">
        <f t="shared" si="10"/>
        <v>0.314</v>
      </c>
      <c r="AD4" s="27">
        <f t="shared" ref="AD4:AG4" si="11">AD5+($AH4-$AH5)/4</f>
        <v>0.06863243878</v>
      </c>
      <c r="AE4" s="27">
        <f t="shared" si="11"/>
        <v>0.01363242325</v>
      </c>
      <c r="AF4" s="27">
        <f t="shared" si="11"/>
        <v>0.03863232175</v>
      </c>
      <c r="AG4" s="27">
        <f t="shared" si="11"/>
        <v>0.03463233799</v>
      </c>
      <c r="AH4" s="23">
        <f t="shared" si="12"/>
        <v>0.1555295218</v>
      </c>
      <c r="AI4" s="28">
        <f t="shared" si="13"/>
        <v>0.1297858866</v>
      </c>
      <c r="AJ4" s="29">
        <f t="shared" si="14"/>
        <v>559.19946</v>
      </c>
      <c r="AK4" s="30" t="str">
        <f t="shared" si="15"/>
        <v>D-</v>
      </c>
      <c r="AL4" s="30" t="str">
        <f t="shared" si="16"/>
        <v>0.13D-</v>
      </c>
    </row>
    <row r="5">
      <c r="A5" s="1">
        <v>2021.0</v>
      </c>
      <c r="B5" s="21">
        <f>96.14*1000000000000</f>
        <v>96140000000000</v>
      </c>
      <c r="C5" s="24">
        <f t="shared" si="17"/>
        <v>0.1343952802</v>
      </c>
      <c r="D5" s="22">
        <f>7.95*10^9</f>
        <v>7950000000</v>
      </c>
      <c r="E5" s="24">
        <f t="shared" si="18"/>
        <v>0.007604562738</v>
      </c>
      <c r="F5" s="21">
        <v>3.17E12</v>
      </c>
      <c r="G5" s="24">
        <f t="shared" si="19"/>
        <v>0.1872659176</v>
      </c>
      <c r="H5" s="22">
        <v>1.41E9</v>
      </c>
      <c r="I5" s="24">
        <f t="shared" si="20"/>
        <v>0.007142857143</v>
      </c>
      <c r="J5" s="23">
        <f t="shared" si="2"/>
        <v>0.03297274808</v>
      </c>
      <c r="K5" s="21">
        <v>6.7E11</v>
      </c>
      <c r="L5" s="21">
        <v>6.12E11</v>
      </c>
      <c r="M5" s="21">
        <f t="shared" si="3"/>
        <v>-58000000000</v>
      </c>
      <c r="N5" s="24">
        <f t="shared" si="21"/>
        <v>0.1836734694</v>
      </c>
      <c r="O5" s="23">
        <f t="shared" si="4"/>
        <v>-0.01829652997</v>
      </c>
      <c r="P5" s="24">
        <v>0.835</v>
      </c>
      <c r="Q5" s="24">
        <f t="shared" si="22"/>
        <v>-0.05542986425</v>
      </c>
      <c r="R5" s="21">
        <f t="shared" si="5"/>
        <v>2646950000000</v>
      </c>
      <c r="S5" s="24">
        <v>0.04</v>
      </c>
      <c r="T5" s="21">
        <f t="shared" si="6"/>
        <v>105878000000</v>
      </c>
      <c r="U5" s="23">
        <f t="shared" si="7"/>
        <v>0.0334</v>
      </c>
      <c r="V5" s="24">
        <v>0.0513</v>
      </c>
      <c r="W5" s="21">
        <f t="shared" si="8"/>
        <v>2248.22695</v>
      </c>
      <c r="X5" s="25">
        <f t="shared" si="9"/>
        <v>2132.892908</v>
      </c>
      <c r="Y5" s="3">
        <v>0.647</v>
      </c>
      <c r="Z5" s="31">
        <f t="shared" si="23"/>
        <v>-0.007668711656</v>
      </c>
      <c r="AA5" s="3">
        <v>0.328</v>
      </c>
      <c r="AB5" s="31">
        <f t="shared" si="24"/>
        <v>-0.03048780488</v>
      </c>
      <c r="AC5" s="26">
        <f t="shared" si="10"/>
        <v>0.319</v>
      </c>
      <c r="AD5" s="27">
        <f t="shared" ref="AD5:AG5" si="25">AD6+($AH5-$AH6)/4</f>
        <v>0.07067887985</v>
      </c>
      <c r="AE5" s="27">
        <f t="shared" si="25"/>
        <v>0.01567886433</v>
      </c>
      <c r="AF5" s="27">
        <f t="shared" si="25"/>
        <v>0.04067876282</v>
      </c>
      <c r="AG5" s="27">
        <f t="shared" si="25"/>
        <v>0.03667877906</v>
      </c>
      <c r="AH5" s="23">
        <f t="shared" si="12"/>
        <v>0.1637152861</v>
      </c>
      <c r="AI5" s="28">
        <f t="shared" si="13"/>
        <v>0.1449915042</v>
      </c>
      <c r="AJ5" s="29">
        <f t="shared" si="14"/>
        <v>680.3928376</v>
      </c>
      <c r="AK5" s="30" t="str">
        <f t="shared" si="15"/>
        <v>D-</v>
      </c>
      <c r="AL5" s="30" t="str">
        <f t="shared" si="16"/>
        <v>0.14D-</v>
      </c>
    </row>
    <row r="6">
      <c r="A6" s="1">
        <v>2022.0</v>
      </c>
      <c r="B6" s="21">
        <f>101.56*1000000000000</f>
        <v>101560000000000</v>
      </c>
      <c r="C6" s="24">
        <f t="shared" si="17"/>
        <v>0.05637611816</v>
      </c>
      <c r="D6" s="22">
        <f>8.02*10^9</f>
        <v>8020000000</v>
      </c>
      <c r="E6" s="24">
        <f t="shared" si="18"/>
        <v>0.008805031447</v>
      </c>
      <c r="F6" s="21">
        <v>3.35E12</v>
      </c>
      <c r="G6" s="24">
        <f t="shared" si="19"/>
        <v>0.05678233438</v>
      </c>
      <c r="H6" s="22">
        <v>1.43E9</v>
      </c>
      <c r="I6" s="24">
        <f t="shared" si="20"/>
        <v>0.01418439716</v>
      </c>
      <c r="J6" s="23">
        <f t="shared" si="2"/>
        <v>0.03298542733</v>
      </c>
      <c r="K6" s="21">
        <v>7.88E11</v>
      </c>
      <c r="L6" s="21">
        <v>7.43E11</v>
      </c>
      <c r="M6" s="21">
        <f t="shared" si="3"/>
        <v>-45000000000</v>
      </c>
      <c r="N6" s="24">
        <f t="shared" si="21"/>
        <v>-0.224137931</v>
      </c>
      <c r="O6" s="23">
        <f t="shared" si="4"/>
        <v>-0.01343283582</v>
      </c>
      <c r="P6" s="24">
        <v>0.8220000000000001</v>
      </c>
      <c r="Q6" s="24">
        <f t="shared" si="22"/>
        <v>-0.01556886228</v>
      </c>
      <c r="R6" s="21">
        <f t="shared" si="5"/>
        <v>2753700000000</v>
      </c>
      <c r="S6" s="24">
        <v>0.04</v>
      </c>
      <c r="T6" s="21">
        <f t="shared" si="6"/>
        <v>110148000000</v>
      </c>
      <c r="U6" s="23">
        <f t="shared" si="7"/>
        <v>0.03288</v>
      </c>
      <c r="V6" s="24">
        <v>0.067</v>
      </c>
      <c r="W6" s="21">
        <f t="shared" si="8"/>
        <v>2342.657343</v>
      </c>
      <c r="X6" s="25">
        <f t="shared" si="9"/>
        <v>2185.699301</v>
      </c>
      <c r="Y6" s="3">
        <v>0.676</v>
      </c>
      <c r="Z6" s="31">
        <f t="shared" si="23"/>
        <v>0.04482225657</v>
      </c>
      <c r="AA6" s="3">
        <v>0.328</v>
      </c>
      <c r="AB6" s="31">
        <f t="shared" si="24"/>
        <v>0</v>
      </c>
      <c r="AC6" s="26">
        <f t="shared" si="10"/>
        <v>0.348</v>
      </c>
      <c r="AD6" s="27">
        <f t="shared" ref="AD6:AG6" si="26">AD7+($AH6-$AH7)/4</f>
        <v>0.07283302835</v>
      </c>
      <c r="AE6" s="27">
        <f t="shared" si="26"/>
        <v>0.01783301283</v>
      </c>
      <c r="AF6" s="27">
        <f t="shared" si="26"/>
        <v>0.04283291132</v>
      </c>
      <c r="AG6" s="27">
        <f t="shared" si="26"/>
        <v>0.03883292757</v>
      </c>
      <c r="AH6" s="23">
        <f t="shared" si="12"/>
        <v>0.1723318801</v>
      </c>
      <c r="AI6" s="28">
        <f t="shared" si="13"/>
        <v>0.1590044716</v>
      </c>
      <c r="AJ6" s="29">
        <f t="shared" si="14"/>
        <v>760.6233566</v>
      </c>
      <c r="AK6" s="30" t="str">
        <f t="shared" si="15"/>
        <v>D-</v>
      </c>
      <c r="AL6" s="30" t="str">
        <f t="shared" si="16"/>
        <v>0.16D-</v>
      </c>
    </row>
    <row r="7">
      <c r="A7" s="1">
        <v>2023.0</v>
      </c>
      <c r="B7" s="21">
        <f>106.8*1000000000000</f>
        <v>106800000000000</v>
      </c>
      <c r="C7" s="24">
        <f t="shared" si="17"/>
        <v>0.05159511619</v>
      </c>
      <c r="D7" s="32">
        <f>8.09*10^9</f>
        <v>8090000000</v>
      </c>
      <c r="E7" s="24">
        <f t="shared" si="18"/>
        <v>0.008728179551</v>
      </c>
      <c r="F7" s="21">
        <v>3.64E12</v>
      </c>
      <c r="G7" s="24">
        <f t="shared" si="19"/>
        <v>0.08656716418</v>
      </c>
      <c r="H7" s="22">
        <v>1.44E9</v>
      </c>
      <c r="I7" s="24">
        <f t="shared" si="20"/>
        <v>0.006993006993</v>
      </c>
      <c r="J7" s="23">
        <f t="shared" si="2"/>
        <v>0.034082397</v>
      </c>
      <c r="K7" s="21">
        <v>8.5665E11</v>
      </c>
      <c r="L7" s="21">
        <v>7.74E11</v>
      </c>
      <c r="M7" s="21">
        <f t="shared" si="3"/>
        <v>-82650000000</v>
      </c>
      <c r="N7" s="24">
        <f t="shared" si="21"/>
        <v>0.8366666667</v>
      </c>
      <c r="O7" s="23">
        <f t="shared" si="4"/>
        <v>-0.02270604396</v>
      </c>
      <c r="P7" s="24">
        <v>0.812</v>
      </c>
      <c r="Q7" s="24">
        <f t="shared" si="22"/>
        <v>-0.01216545012</v>
      </c>
      <c r="R7" s="21">
        <f t="shared" si="5"/>
        <v>2955680000000</v>
      </c>
      <c r="S7" s="24">
        <v>0.065</v>
      </c>
      <c r="T7" s="21">
        <f t="shared" si="6"/>
        <v>192119200000</v>
      </c>
      <c r="U7" s="23">
        <f t="shared" si="7"/>
        <v>0.05278</v>
      </c>
      <c r="V7" s="24">
        <v>0.0565</v>
      </c>
      <c r="W7" s="21">
        <f t="shared" si="8"/>
        <v>2527.777778</v>
      </c>
      <c r="X7" s="25">
        <f t="shared" si="9"/>
        <v>2384.958333</v>
      </c>
      <c r="Y7" s="3">
        <v>0.685</v>
      </c>
      <c r="Z7" s="31">
        <f t="shared" si="23"/>
        <v>0.01331360947</v>
      </c>
      <c r="AA7" s="3">
        <v>0.328</v>
      </c>
      <c r="AB7" s="31">
        <f t="shared" si="24"/>
        <v>0</v>
      </c>
      <c r="AC7" s="26">
        <f t="shared" si="10"/>
        <v>0.357</v>
      </c>
      <c r="AD7" s="27">
        <f t="shared" ref="AD7:AG7" si="27">AD8+($AH7-$AH8)/4</f>
        <v>0.07510055309</v>
      </c>
      <c r="AE7" s="27">
        <f t="shared" si="27"/>
        <v>0.02010053757</v>
      </c>
      <c r="AF7" s="27">
        <f t="shared" si="27"/>
        <v>0.04510043606</v>
      </c>
      <c r="AG7" s="27">
        <f t="shared" si="27"/>
        <v>0.0411004523</v>
      </c>
      <c r="AH7" s="23">
        <f t="shared" si="12"/>
        <v>0.181401979</v>
      </c>
      <c r="AI7" s="28">
        <f t="shared" si="13"/>
        <v>0.1399983321</v>
      </c>
      <c r="AJ7" s="29">
        <f t="shared" si="14"/>
        <v>851.430125</v>
      </c>
      <c r="AK7" s="30" t="str">
        <f t="shared" si="15"/>
        <v>D-</v>
      </c>
      <c r="AL7" s="30" t="str">
        <f t="shared" si="16"/>
        <v>0.14D-</v>
      </c>
    </row>
    <row r="8">
      <c r="A8" s="1">
        <v>2024.0</v>
      </c>
      <c r="B8" s="21">
        <f>112.6*1000000000000</f>
        <v>112600000000000</v>
      </c>
      <c r="C8" s="24">
        <f t="shared" si="17"/>
        <v>0.0543071161</v>
      </c>
      <c r="D8" s="32">
        <v>8.161972572E9</v>
      </c>
      <c r="E8" s="24">
        <f t="shared" si="18"/>
        <v>0.008896486032</v>
      </c>
      <c r="F8" s="21">
        <v>3.91E12</v>
      </c>
      <c r="G8" s="24">
        <f t="shared" si="19"/>
        <v>0.07417582418</v>
      </c>
      <c r="H8" s="22">
        <v>1.45E9</v>
      </c>
      <c r="I8" s="24">
        <f t="shared" si="20"/>
        <v>0.006944444444</v>
      </c>
      <c r="J8" s="23">
        <f t="shared" si="2"/>
        <v>0.03472468917</v>
      </c>
      <c r="K8" s="21">
        <v>9.1921E11</v>
      </c>
      <c r="L8" s="21">
        <v>8.2863E11</v>
      </c>
      <c r="M8" s="21">
        <f t="shared" si="3"/>
        <v>-90580000000</v>
      </c>
      <c r="N8" s="24">
        <f t="shared" si="21"/>
        <v>0.09594676346</v>
      </c>
      <c r="O8" s="23">
        <f t="shared" si="4"/>
        <v>-0.02316624041</v>
      </c>
      <c r="P8" s="24">
        <v>0.813</v>
      </c>
      <c r="Q8" s="24">
        <f t="shared" si="22"/>
        <v>0.001231527094</v>
      </c>
      <c r="R8" s="21">
        <f t="shared" si="5"/>
        <v>3178830000000</v>
      </c>
      <c r="S8" s="24">
        <v>0.065</v>
      </c>
      <c r="T8" s="21">
        <f t="shared" si="6"/>
        <v>206623950000</v>
      </c>
      <c r="U8" s="23">
        <f t="shared" si="7"/>
        <v>0.052845</v>
      </c>
      <c r="V8" s="24">
        <v>0.0495</v>
      </c>
      <c r="W8" s="21">
        <f t="shared" si="8"/>
        <v>2696.551724</v>
      </c>
      <c r="X8" s="25">
        <f t="shared" si="9"/>
        <v>2563.072414</v>
      </c>
      <c r="Y8" s="3">
        <v>0.685</v>
      </c>
      <c r="Z8" s="31">
        <f t="shared" si="23"/>
        <v>0</v>
      </c>
      <c r="AA8" s="3">
        <v>0.328</v>
      </c>
      <c r="AB8" s="31">
        <f t="shared" si="24"/>
        <v>0</v>
      </c>
      <c r="AC8" s="26">
        <f t="shared" si="10"/>
        <v>0.357</v>
      </c>
      <c r="AD8" s="27">
        <f t="shared" ref="AD8:AG8" si="28">AD9+($AH8-$AH9)/4</f>
        <v>0.07748742124</v>
      </c>
      <c r="AE8" s="27">
        <f t="shared" si="28"/>
        <v>0.02248740571</v>
      </c>
      <c r="AF8" s="27">
        <f t="shared" si="28"/>
        <v>0.04748730421</v>
      </c>
      <c r="AG8" s="27">
        <f t="shared" si="28"/>
        <v>0.04348732045</v>
      </c>
      <c r="AH8" s="23">
        <f t="shared" si="12"/>
        <v>0.1909494516</v>
      </c>
      <c r="AI8" s="28">
        <f t="shared" si="13"/>
        <v>0.1496629004</v>
      </c>
      <c r="AJ8" s="29">
        <f t="shared" si="14"/>
        <v>915.0168517</v>
      </c>
      <c r="AK8" s="30" t="str">
        <f t="shared" si="15"/>
        <v>D-</v>
      </c>
      <c r="AL8" s="30" t="str">
        <f t="shared" si="16"/>
        <v>0.15D-</v>
      </c>
    </row>
    <row r="9">
      <c r="A9" s="1">
        <v>2025.0</v>
      </c>
      <c r="B9" s="33">
        <v>1.13795678E14</v>
      </c>
      <c r="C9" s="24">
        <f t="shared" si="17"/>
        <v>0.01061880995</v>
      </c>
      <c r="D9" s="32">
        <v>8.23161307E9</v>
      </c>
      <c r="E9" s="24">
        <f t="shared" si="18"/>
        <v>0.008532312181</v>
      </c>
      <c r="F9" s="33">
        <v>4.187017E12</v>
      </c>
      <c r="G9" s="24">
        <f t="shared" si="19"/>
        <v>0.0708483376</v>
      </c>
      <c r="H9" s="32">
        <v>1.425E9</v>
      </c>
      <c r="I9" s="24">
        <f t="shared" si="20"/>
        <v>-0.01724137931</v>
      </c>
      <c r="J9" s="23">
        <f t="shared" si="2"/>
        <v>0.03679416542</v>
      </c>
      <c r="K9" s="33">
        <v>9.1892E11</v>
      </c>
      <c r="L9" s="33">
        <v>8.2892E11</v>
      </c>
      <c r="M9" s="33">
        <f t="shared" si="3"/>
        <v>-90000000000</v>
      </c>
      <c r="N9" s="24">
        <f t="shared" si="21"/>
        <v>-0.00640317951</v>
      </c>
      <c r="O9" s="23">
        <f t="shared" si="4"/>
        <v>-0.02149501662</v>
      </c>
      <c r="P9" s="24">
        <v>0.829999973728313</v>
      </c>
      <c r="Q9" s="24">
        <f t="shared" si="22"/>
        <v>0.02091017679</v>
      </c>
      <c r="R9" s="21">
        <f t="shared" si="5"/>
        <v>3475224000000</v>
      </c>
      <c r="S9" s="31">
        <v>0.055</v>
      </c>
      <c r="T9" s="21">
        <f t="shared" si="6"/>
        <v>191137320000</v>
      </c>
      <c r="U9" s="23">
        <f t="shared" si="7"/>
        <v>0.04564999856</v>
      </c>
      <c r="V9" s="24">
        <v>0.0282</v>
      </c>
      <c r="W9" s="21">
        <f t="shared" si="8"/>
        <v>2938.257544</v>
      </c>
      <c r="X9" s="25">
        <f t="shared" si="9"/>
        <v>2855.398681</v>
      </c>
      <c r="Y9" s="3">
        <v>0.685</v>
      </c>
      <c r="Z9" s="31">
        <f t="shared" si="23"/>
        <v>0</v>
      </c>
      <c r="AA9" s="3">
        <v>0.328</v>
      </c>
      <c r="AB9" s="31">
        <f t="shared" si="24"/>
        <v>0</v>
      </c>
      <c r="AC9" s="26">
        <f t="shared" si="10"/>
        <v>0.357</v>
      </c>
      <c r="AD9" s="27">
        <v>0.0799999140199335</v>
      </c>
      <c r="AE9" s="27">
        <v>0.024999898495754902</v>
      </c>
      <c r="AF9" s="27">
        <v>0.0499997969915097</v>
      </c>
      <c r="AG9" s="27">
        <v>0.04599981323218891</v>
      </c>
      <c r="AH9" s="23">
        <f>SUM(AD9:AG9)</f>
        <v>0.2009994227</v>
      </c>
      <c r="AI9" s="28">
        <f t="shared" si="13"/>
        <v>0.170648573</v>
      </c>
      <c r="AJ9" s="29">
        <f t="shared" si="14"/>
        <v>1019.377329</v>
      </c>
      <c r="AK9" s="30" t="str">
        <f t="shared" si="15"/>
        <v>D-</v>
      </c>
      <c r="AL9" s="30" t="str">
        <f t="shared" si="16"/>
        <v>0.17D-</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4435586665427</v>
      </c>
      <c r="G10" s="24">
        <f t="shared" si="19"/>
        <v>0.05936676766</v>
      </c>
      <c r="H10" s="22">
        <f>AVERAGE(FORECAST(A10,H3:H9,$A$3:$A$9),H9*(AVERAGE(I4:I9)+1))</f>
        <v>1442637444</v>
      </c>
      <c r="I10" s="24">
        <f t="shared" si="20"/>
        <v>0.01237715348</v>
      </c>
      <c r="J10" s="35">
        <f t="shared" si="2"/>
        <v>0.03694357734</v>
      </c>
      <c r="K10" s="36">
        <f>FORECAST(A10,K3:K9,A3:A9)</f>
        <v>1017801428571</v>
      </c>
      <c r="L10" s="36">
        <f t="shared" ref="L10:L14" si="30">K10+M10</f>
        <v>931367142857</v>
      </c>
      <c r="M10" s="21">
        <f>FORECAST(A10,M3:M9,$A$3:$A$9)</f>
        <v>-86434285714</v>
      </c>
      <c r="N10" s="24">
        <f t="shared" si="21"/>
        <v>-0.03961904762</v>
      </c>
      <c r="O10" s="24">
        <f t="shared" si="4"/>
        <v>-0.01948655099</v>
      </c>
      <c r="P10" s="24">
        <f>AVERAGE(FORECAST(A10,P3:P9,$A$3:$A$9),P9*(AVERAGE(Q4:Q9)+1))</f>
        <v>0.8389227501</v>
      </c>
      <c r="Q10" s="24">
        <f t="shared" si="22"/>
        <v>0.01075033336</v>
      </c>
      <c r="R10" s="21">
        <f t="shared" si="5"/>
        <v>3721114563803</v>
      </c>
      <c r="S10" s="24">
        <f>FORECAST(A10,S3:S9,$A$3:$A$9)</f>
        <v>0.05942857143</v>
      </c>
      <c r="T10" s="21">
        <f t="shared" si="6"/>
        <v>221140522649</v>
      </c>
      <c r="U10" s="24">
        <f t="shared" si="7"/>
        <v>0.04985598058</v>
      </c>
      <c r="V10" s="24">
        <f>FORECAST(A10,V3:V9,$A$3:$A$9)</f>
        <v>0.04292857143</v>
      </c>
      <c r="W10" s="21">
        <f t="shared" si="8"/>
        <v>3074.637141</v>
      </c>
      <c r="X10" s="21">
        <f t="shared" si="9"/>
        <v>2942.647361</v>
      </c>
      <c r="Y10" s="37">
        <f>AVERAGE(FORECAST(A10,Y3:Y9,$A$3:$A$9),Y9*(AVERAGE(Z4:Z9)+1))</f>
        <v>0.6945399476</v>
      </c>
      <c r="Z10" s="31">
        <f t="shared" si="23"/>
        <v>0.01392693077</v>
      </c>
      <c r="AA10" s="38">
        <f>AVERAGE(FORECAST(A10,AA3:AA9,$A$3:$A$9),AA9*(AVERAGE(AB4:AB9)+1))</f>
        <v>0.3250238095</v>
      </c>
      <c r="AB10" s="31">
        <f t="shared" si="24"/>
        <v>-0.009156838327</v>
      </c>
      <c r="AC10" s="37">
        <f t="shared" si="10"/>
        <v>0.3695161381</v>
      </c>
      <c r="AD10" s="27">
        <f t="shared" ref="AD10:AG10" si="29">AD9+($AH10-$AH9)/4</f>
        <v>0.0825124068</v>
      </c>
      <c r="AE10" s="27">
        <f t="shared" si="29"/>
        <v>0.02751239128</v>
      </c>
      <c r="AF10" s="27">
        <f t="shared" si="29"/>
        <v>0.05251228978</v>
      </c>
      <c r="AG10" s="27">
        <f t="shared" si="29"/>
        <v>0.04851230602</v>
      </c>
      <c r="AH10" s="24">
        <f t="shared" ref="AH10:AH14" si="32">AH9*1.05</f>
        <v>0.2110493939</v>
      </c>
      <c r="AI10" s="37">
        <f t="shared" si="13"/>
        <v>0.1786504396</v>
      </c>
      <c r="AJ10" s="21">
        <f t="shared" si="14"/>
        <v>1087.355688</v>
      </c>
      <c r="AK10" s="30" t="str">
        <f t="shared" si="15"/>
        <v>D-</v>
      </c>
      <c r="AL10" s="30" t="str">
        <f t="shared" si="16"/>
        <v>0.18D-</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4700572377145</v>
      </c>
      <c r="G11" s="24">
        <f t="shared" si="19"/>
        <v>0.05974084866</v>
      </c>
      <c r="H11" s="22">
        <f>AVERAGE(FORECAST($A11,H3:H10,$A3:$A10),H10*(AVERAGE(I4:I10)+1))</f>
        <v>1453619908</v>
      </c>
      <c r="I11" s="24">
        <f t="shared" si="20"/>
        <v>0.007612768296</v>
      </c>
      <c r="J11" s="35">
        <f t="shared" si="2"/>
        <v>0.03738459553</v>
      </c>
      <c r="K11" s="36">
        <f>FORECAST(A11,K3:K10,A3:A10)</f>
        <v>1081866785714</v>
      </c>
      <c r="L11" s="21">
        <f t="shared" si="30"/>
        <v>992010714286</v>
      </c>
      <c r="M11" s="21">
        <f>FORECAST(A11,M3:M10,$A3:$A10)</f>
        <v>-89856071429</v>
      </c>
      <c r="N11" s="24">
        <f t="shared" si="21"/>
        <v>0.03958829168</v>
      </c>
      <c r="O11" s="24">
        <f t="shared" si="4"/>
        <v>-0.01911598508</v>
      </c>
      <c r="P11" s="24">
        <f>AVERAGE(FORECAST($A11,P3:P10,$A3:$A10),P10*(AVERAGE(Q4:Q10)+1))</f>
        <v>0.8461179924</v>
      </c>
      <c r="Q11" s="24">
        <f t="shared" si="22"/>
        <v>0.008576763831</v>
      </c>
      <c r="R11" s="21">
        <f t="shared" si="5"/>
        <v>3977238863025</v>
      </c>
      <c r="S11" s="24">
        <f>FORECAST($A11,S3:S10,$A3:$A10)</f>
        <v>0.06101785714</v>
      </c>
      <c r="T11" s="21">
        <f t="shared" si="6"/>
        <v>242682592767</v>
      </c>
      <c r="U11" s="24">
        <f t="shared" si="7"/>
        <v>0.05162830679</v>
      </c>
      <c r="V11" s="24">
        <f>FORECAST($A11,V3:V10,$A3:$A10)</f>
        <v>0.04094642857</v>
      </c>
      <c r="W11" s="21">
        <f t="shared" si="8"/>
        <v>3233.701156</v>
      </c>
      <c r="X11" s="21">
        <f t="shared" si="9"/>
        <v>3101.292642</v>
      </c>
      <c r="Y11" s="37">
        <f>AVERAGE(FORECAST($A11,Y3:Y10,$A3:$A10),Y10*(AVERAGE(Z4:Z10)+1))</f>
        <v>0.7023900426</v>
      </c>
      <c r="Z11" s="31">
        <f t="shared" si="23"/>
        <v>0.01130258238</v>
      </c>
      <c r="AA11" s="38">
        <f>AVERAGE(FORECAST($A11,AA3:AA10,$A3:$A10),AA10*(AVERAGE(AB4:AB10)+1))</f>
        <v>0.3228831819</v>
      </c>
      <c r="AB11" s="31">
        <f t="shared" si="24"/>
        <v>-0.006629727754</v>
      </c>
      <c r="AC11" s="37">
        <f t="shared" si="10"/>
        <v>0.3795068606</v>
      </c>
      <c r="AD11" s="27">
        <f t="shared" ref="AD11:AG11" si="31">AD10+($AH11-$AH10)/4</f>
        <v>0.08515052423</v>
      </c>
      <c r="AE11" s="27">
        <f t="shared" si="31"/>
        <v>0.0301505087</v>
      </c>
      <c r="AF11" s="27">
        <f t="shared" si="31"/>
        <v>0.0551504072</v>
      </c>
      <c r="AG11" s="27">
        <f t="shared" si="31"/>
        <v>0.05115042344</v>
      </c>
      <c r="AH11" s="24">
        <f t="shared" si="32"/>
        <v>0.2216018636</v>
      </c>
      <c r="AI11" s="37">
        <f t="shared" si="13"/>
        <v>0.1882421672</v>
      </c>
      <c r="AJ11" s="21">
        <f t="shared" si="14"/>
        <v>1176.961834</v>
      </c>
      <c r="AK11" s="30" t="str">
        <f t="shared" si="15"/>
        <v>D-</v>
      </c>
      <c r="AL11" s="30" t="str">
        <f t="shared" si="16"/>
        <v>0.19D-</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4974261388939</v>
      </c>
      <c r="G12" s="24">
        <f t="shared" si="19"/>
        <v>0.05822461391</v>
      </c>
      <c r="H12" s="22">
        <f>AVERAGE(FORECAST($A12,H3:H11,$A3:$A11),H11*(AVERAGE(I4:I11)+1))</f>
        <v>1462336629</v>
      </c>
      <c r="I12" s="24">
        <f t="shared" si="20"/>
        <v>0.005996561303</v>
      </c>
      <c r="J12" s="35">
        <f t="shared" si="2"/>
        <v>0.03790276086</v>
      </c>
      <c r="K12" s="36">
        <f>FORECAST(A12,K3:K11,A3:A11)</f>
        <v>1145932142857</v>
      </c>
      <c r="L12" s="21">
        <f t="shared" si="30"/>
        <v>1052654285714</v>
      </c>
      <c r="M12" s="21">
        <f>FORECAST(A12,M3:M11,$A3:$A11)</f>
        <v>-93277857143</v>
      </c>
      <c r="N12" s="24">
        <f t="shared" si="21"/>
        <v>0.03808074023</v>
      </c>
      <c r="O12" s="24">
        <f t="shared" si="4"/>
        <v>-0.01875210204</v>
      </c>
      <c r="P12" s="24">
        <f>AVERAGE(FORECAST($A12,P3:P11,$A3:$A11),P11*(AVERAGE(Q4:Q11)+1))</f>
        <v>0.852731299</v>
      </c>
      <c r="Q12" s="24">
        <f t="shared" si="22"/>
        <v>0.007816057126</v>
      </c>
      <c r="R12" s="21">
        <f t="shared" si="5"/>
        <v>4241708375729</v>
      </c>
      <c r="S12" s="24">
        <f>FORECAST($A12,S3:S11,$A3:$A11)</f>
        <v>0.06260714286</v>
      </c>
      <c r="T12" s="21">
        <f t="shared" si="6"/>
        <v>265561242238</v>
      </c>
      <c r="U12" s="24">
        <f t="shared" si="7"/>
        <v>0.05338707025</v>
      </c>
      <c r="V12" s="24">
        <f>FORECAST($A12,V3:V11,$A3:$A11)</f>
        <v>0.03896428571</v>
      </c>
      <c r="W12" s="21">
        <f t="shared" si="8"/>
        <v>3401.584348</v>
      </c>
      <c r="X12" s="21">
        <f t="shared" si="9"/>
        <v>3269.044043</v>
      </c>
      <c r="Y12" s="37">
        <f>AVERAGE(FORECAST($A12,Y3:Y11,$A3:$A11),Y11*(AVERAGE(Z4:Z11)+1))</f>
        <v>0.7096724361</v>
      </c>
      <c r="Z12" s="31">
        <f t="shared" si="23"/>
        <v>0.0103680193</v>
      </c>
      <c r="AA12" s="37">
        <f>AVERAGE(FORECAST($A12,AA3:AA11,$A3:$A11),AA11*(AVERAGE(AB4:AB11)+1))</f>
        <v>0.321027771</v>
      </c>
      <c r="AB12" s="31">
        <f t="shared" si="24"/>
        <v>-0.00577959636</v>
      </c>
      <c r="AC12" s="37">
        <f t="shared" si="10"/>
        <v>0.3886446651</v>
      </c>
      <c r="AD12" s="27">
        <f t="shared" ref="AD12:AG12" si="33">AD11+($AH12-$AH11)/4</f>
        <v>0.08792054752</v>
      </c>
      <c r="AE12" s="27">
        <f t="shared" si="33"/>
        <v>0.032920532</v>
      </c>
      <c r="AF12" s="27">
        <f t="shared" si="33"/>
        <v>0.05792043049</v>
      </c>
      <c r="AG12" s="27">
        <f t="shared" si="33"/>
        <v>0.05392044673</v>
      </c>
      <c r="AH12" s="24">
        <f t="shared" si="32"/>
        <v>0.2326819567</v>
      </c>
      <c r="AI12" s="37">
        <f t="shared" si="13"/>
        <v>0.1984455453</v>
      </c>
      <c r="AJ12" s="21">
        <f t="shared" si="14"/>
        <v>1270.496527</v>
      </c>
      <c r="AK12" s="30" t="str">
        <f t="shared" si="15"/>
        <v>D-</v>
      </c>
      <c r="AL12" s="30" t="str">
        <f t="shared" si="16"/>
        <v>0.2D-</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5253763699966</v>
      </c>
      <c r="G13" s="24">
        <f t="shared" si="19"/>
        <v>0.05618971123</v>
      </c>
      <c r="H13" s="22">
        <f>AVERAGE(FORECAST($A13,H3:H12,$A3:$A12),H12*(AVERAGE(I4:I12)+1))</f>
        <v>1470250482</v>
      </c>
      <c r="I13" s="24">
        <f t="shared" si="20"/>
        <v>0.005411786148</v>
      </c>
      <c r="J13" s="35">
        <f t="shared" si="2"/>
        <v>0.03842929126</v>
      </c>
      <c r="K13" s="36">
        <f>FORECAST(A13,K3:K12,A3:A12)</f>
        <v>1209997500000</v>
      </c>
      <c r="L13" s="21">
        <f t="shared" si="30"/>
        <v>1113297857143</v>
      </c>
      <c r="M13" s="21">
        <f>FORECAST(A13,M3:M12,$A3:$A12)</f>
        <v>-96699642857</v>
      </c>
      <c r="N13" s="24">
        <f t="shared" si="21"/>
        <v>0.03668379419</v>
      </c>
      <c r="O13" s="24">
        <f t="shared" si="4"/>
        <v>-0.01840578457</v>
      </c>
      <c r="P13" s="24">
        <f>AVERAGE(FORECAST($A13,P3:P12,$A3:$A12),P12*(AVERAGE(Q4:Q12)+1))</f>
        <v>0.859147089</v>
      </c>
      <c r="Q13" s="24">
        <f t="shared" si="22"/>
        <v>0.007523811975</v>
      </c>
      <c r="R13" s="21">
        <f t="shared" si="5"/>
        <v>4513755788876</v>
      </c>
      <c r="S13" s="24">
        <f>FORECAST($A13,S3:S12,$A3:$A12)</f>
        <v>0.06419642857</v>
      </c>
      <c r="T13" s="21">
        <f t="shared" si="6"/>
        <v>289767001089</v>
      </c>
      <c r="U13" s="24">
        <f t="shared" si="7"/>
        <v>0.05515417473</v>
      </c>
      <c r="V13" s="24">
        <f>FORECAST($A13,V3:V12,$A3:$A12)</f>
        <v>0.03698214286</v>
      </c>
      <c r="W13" s="21">
        <f t="shared" si="8"/>
        <v>3573.380021</v>
      </c>
      <c r="X13" s="21">
        <f t="shared" si="9"/>
        <v>3441.228771</v>
      </c>
      <c r="Y13" s="37">
        <f>AVERAGE(FORECAST($A13,Y3:Y12,$A3:$A12),Y12*(AVERAGE(Z4:Z12)+1))</f>
        <v>0.7167614755</v>
      </c>
      <c r="Z13" s="31">
        <f t="shared" si="23"/>
        <v>0.009989171153</v>
      </c>
      <c r="AA13" s="37">
        <f>AVERAGE(FORECAST($A13,AA3:AA12,$A3:$A12),AA12*(AVERAGE(AB4:AB12)+1))</f>
        <v>0.3192747686</v>
      </c>
      <c r="AB13" s="31">
        <f t="shared" si="24"/>
        <v>-0.005490576165</v>
      </c>
      <c r="AC13" s="37">
        <f t="shared" si="10"/>
        <v>0.3974867069</v>
      </c>
      <c r="AD13" s="27">
        <f t="shared" ref="AD13:AG13" si="34">AD12+($AH13-$AH12)/4</f>
        <v>0.09082907198</v>
      </c>
      <c r="AE13" s="27">
        <f t="shared" si="34"/>
        <v>0.03582905646</v>
      </c>
      <c r="AF13" s="27">
        <f t="shared" si="34"/>
        <v>0.06082895495</v>
      </c>
      <c r="AG13" s="27">
        <f t="shared" si="34"/>
        <v>0.05682897119</v>
      </c>
      <c r="AH13" s="24">
        <f t="shared" si="32"/>
        <v>0.2443160546</v>
      </c>
      <c r="AI13" s="37">
        <f t="shared" si="13"/>
        <v>0.2091853865</v>
      </c>
      <c r="AJ13" s="21">
        <f t="shared" si="14"/>
        <v>1367.842692</v>
      </c>
      <c r="AK13" s="30" t="str">
        <f t="shared" si="15"/>
        <v>D-</v>
      </c>
      <c r="AL13" s="30" t="str">
        <f t="shared" si="16"/>
        <v>0.21D-</v>
      </c>
    </row>
    <row r="14">
      <c r="A14" s="34">
        <v>2030.0</v>
      </c>
      <c r="B14" s="21">
        <f>AVERAGE(FORECAST($A14,B3:B13,$A3:$A13),B13*(AVERAGE(C6:C13)+1))</f>
        <v>142137128357288</v>
      </c>
      <c r="C14" s="24"/>
      <c r="D14" s="22">
        <f>AVERAGE(FORECAST($A14,D5:D13,$A5:$A13),D13*(AVERAGE(E6:E13)+1))</f>
        <v>8586617399</v>
      </c>
      <c r="E14" s="24"/>
      <c r="F14" s="21">
        <f>AVERAGE(FORECAST($A14,F5:F13,$A5:$A13),F13*(AVERAGE(G6:G13)+1))</f>
        <v>5548925439435</v>
      </c>
      <c r="H14" s="22">
        <f>AVERAGE(FORECAST($A14,H5:H13,$A5:$A13),H13*(AVERAGE(I6:I13)+1))</f>
        <v>1475246999</v>
      </c>
      <c r="J14" s="35">
        <f t="shared" si="2"/>
        <v>0.03903923981</v>
      </c>
      <c r="K14" s="36">
        <f>FORECAST(A14,K3:K13,A3:A13)</f>
        <v>1274062857143</v>
      </c>
      <c r="L14" s="21">
        <f t="shared" si="30"/>
        <v>1173941428571</v>
      </c>
      <c r="M14" s="21">
        <f>FORECAST(A14,M3:M13,$A3:$A13)</f>
        <v>-100121428571</v>
      </c>
      <c r="N14" s="24">
        <f t="shared" si="21"/>
        <v>0.03538571202</v>
      </c>
      <c r="O14" s="24">
        <f t="shared" si="4"/>
        <v>-0.0180433905</v>
      </c>
      <c r="P14" s="24">
        <f>AVERAGE(FORECAST($A14,P3:P13,$A3:$A13),P13*(AVERAGE(Q4:Q13)+1))</f>
        <v>0.8654998453</v>
      </c>
      <c r="R14" s="21">
        <f t="shared" si="5"/>
        <v>4802594109468</v>
      </c>
      <c r="S14" s="24">
        <f>FORECAST($A14,S3:S13,$A3:$A13)</f>
        <v>0.06578571429</v>
      </c>
      <c r="T14" s="21">
        <f t="shared" si="6"/>
        <v>315942083916</v>
      </c>
      <c r="U14" s="24">
        <f t="shared" si="7"/>
        <v>0.05693752554</v>
      </c>
      <c r="V14" s="24">
        <f>FORECAST($A14,V3:V13,$A3:$A13)</f>
        <v>0.035</v>
      </c>
      <c r="W14" s="21">
        <f t="shared" si="8"/>
        <v>3761.353483</v>
      </c>
      <c r="X14" s="21">
        <f t="shared" si="9"/>
        <v>3629.706111</v>
      </c>
      <c r="Y14" s="37">
        <f>AVERAGE(FORECAST($A14,Y3:Y13,$A3:$A13),Y13*(AVERAGE(Z4:Z13)+1))</f>
        <v>0.7237878187</v>
      </c>
      <c r="AA14" s="37">
        <f>AVERAGE(FORECAST($A14,AA3:AA13,$A3:$A13),AA13*(AVERAGE(AB4:AB13)+1))</f>
        <v>0.3175605212</v>
      </c>
      <c r="AC14" s="37">
        <f t="shared" si="10"/>
        <v>0.4062272975</v>
      </c>
      <c r="AD14" s="27">
        <f t="shared" ref="AD14:AG14" si="35">AD13+($AH14-$AH13)/4</f>
        <v>0.09388302266</v>
      </c>
      <c r="AE14" s="27">
        <f t="shared" si="35"/>
        <v>0.03888300714</v>
      </c>
      <c r="AF14" s="27">
        <f t="shared" si="35"/>
        <v>0.06388290564</v>
      </c>
      <c r="AG14" s="27">
        <f t="shared" si="35"/>
        <v>0.05988292188</v>
      </c>
      <c r="AH14" s="24">
        <f t="shared" si="32"/>
        <v>0.2565318573</v>
      </c>
      <c r="AI14" s="37">
        <f t="shared" si="13"/>
        <v>0.2205901811</v>
      </c>
      <c r="AJ14" s="21">
        <f t="shared" si="14"/>
        <v>1474.485704</v>
      </c>
      <c r="AK14" s="30" t="str">
        <f t="shared" si="15"/>
        <v>D-</v>
      </c>
      <c r="AL14" s="30" t="str">
        <f t="shared" si="16"/>
        <v>0.22D-</v>
      </c>
    </row>
  </sheetData>
  <mergeCells count="1">
    <mergeCell ref="B1:AL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23.25"/>
    <col customWidth="1" min="8" max="8" width="16.5"/>
    <col customWidth="1" min="9" max="9" width="28.25"/>
    <col customWidth="1" min="11" max="12" width="15.88"/>
    <col customWidth="1" min="13" max="13" width="18.75"/>
    <col customWidth="1" min="14" max="14" width="23.63"/>
    <col customWidth="1" min="15" max="15" width="18.38"/>
    <col customWidth="1" min="17" max="17" width="18.5"/>
    <col customWidth="1" min="18" max="18" width="17.25"/>
    <col customWidth="1" min="20" max="20" width="15.88"/>
    <col customWidth="1" min="21" max="21" width="20.5"/>
    <col customWidth="1" min="34" max="34" width="13.0"/>
    <col customWidth="1" min="36" max="36" width="19.88"/>
    <col customWidth="1" min="37" max="37" width="16.88"/>
  </cols>
  <sheetData>
    <row r="1">
      <c r="A1" s="1" t="s">
        <v>88</v>
      </c>
      <c r="B1" s="18" t="s">
        <v>120</v>
      </c>
      <c r="AM1" s="18"/>
      <c r="AN1" s="18"/>
      <c r="AO1" s="18"/>
      <c r="AP1" s="18"/>
      <c r="AQ1" s="18"/>
      <c r="AR1" s="18"/>
    </row>
    <row r="2">
      <c r="A2" s="1" t="s">
        <v>90</v>
      </c>
      <c r="B2" s="1" t="s">
        <v>20</v>
      </c>
      <c r="C2" s="1" t="s">
        <v>91</v>
      </c>
      <c r="D2" s="1" t="s">
        <v>92</v>
      </c>
      <c r="E2" s="1" t="s">
        <v>93</v>
      </c>
      <c r="F2" s="1" t="s">
        <v>121</v>
      </c>
      <c r="G2" s="1" t="s">
        <v>122</v>
      </c>
      <c r="H2" s="1" t="s">
        <v>95</v>
      </c>
      <c r="I2" s="1" t="s">
        <v>123</v>
      </c>
      <c r="J2" s="19" t="s">
        <v>97</v>
      </c>
      <c r="K2" s="1" t="s">
        <v>98</v>
      </c>
      <c r="L2" s="1" t="s">
        <v>99</v>
      </c>
      <c r="M2" s="1" t="s">
        <v>100</v>
      </c>
      <c r="N2" s="1" t="s">
        <v>101</v>
      </c>
      <c r="O2" s="19" t="s">
        <v>102</v>
      </c>
      <c r="P2" s="1" t="s">
        <v>103</v>
      </c>
      <c r="Q2" s="1" t="s">
        <v>104</v>
      </c>
      <c r="R2" s="1" t="s">
        <v>105</v>
      </c>
      <c r="S2" s="1" t="s">
        <v>106</v>
      </c>
      <c r="T2" s="1" t="s">
        <v>107</v>
      </c>
      <c r="U2" s="19" t="s">
        <v>108</v>
      </c>
      <c r="V2" s="1" t="s">
        <v>25</v>
      </c>
      <c r="W2" s="1" t="s">
        <v>109</v>
      </c>
      <c r="X2" s="19" t="s">
        <v>5</v>
      </c>
      <c r="Y2" s="1" t="s">
        <v>29</v>
      </c>
      <c r="Z2" s="1" t="s">
        <v>110</v>
      </c>
      <c r="AA2" s="1" t="s">
        <v>30</v>
      </c>
      <c r="AB2" s="1" t="s">
        <v>111</v>
      </c>
      <c r="AC2" s="19" t="s">
        <v>9</v>
      </c>
      <c r="AD2" s="1" t="s">
        <v>112</v>
      </c>
      <c r="AE2" s="1" t="s">
        <v>113</v>
      </c>
      <c r="AF2" s="1" t="s">
        <v>114</v>
      </c>
      <c r="AG2" s="1" t="s">
        <v>115</v>
      </c>
      <c r="AH2" s="19" t="s">
        <v>116</v>
      </c>
      <c r="AI2" s="20" t="s">
        <v>117</v>
      </c>
      <c r="AJ2" s="20" t="s">
        <v>2</v>
      </c>
      <c r="AK2" s="1" t="s">
        <v>118</v>
      </c>
      <c r="AL2" s="1" t="s">
        <v>119</v>
      </c>
      <c r="AM2" s="1"/>
      <c r="AN2" s="1"/>
      <c r="AO2" s="1"/>
      <c r="AP2" s="1"/>
      <c r="AQ2" s="1"/>
      <c r="AR2" s="1"/>
    </row>
    <row r="3">
      <c r="A3" s="1">
        <v>2019.0</v>
      </c>
      <c r="B3" s="21">
        <f>87.7*1000000000000</f>
        <v>87700000000000</v>
      </c>
      <c r="C3" s="21"/>
      <c r="D3" s="22">
        <f>7.81*10^9</f>
        <v>7810000000</v>
      </c>
      <c r="E3" s="22"/>
      <c r="F3" s="21">
        <f>21.54*1000000000000</f>
        <v>21540000000000</v>
      </c>
      <c r="G3" s="21"/>
      <c r="H3" s="22">
        <f>330226227</f>
        <v>330226227</v>
      </c>
      <c r="I3" s="22"/>
      <c r="J3" s="23">
        <f t="shared" ref="J3:J14" si="2">F3/B3</f>
        <v>0.2456100342</v>
      </c>
      <c r="K3" s="33">
        <f>2512.36*1000000000</f>
        <v>2512360000000</v>
      </c>
      <c r="L3" s="33">
        <f>1655.1*1000000000</f>
        <v>1655100000000</v>
      </c>
      <c r="M3" s="21">
        <f t="shared" ref="M3:M9" si="3">L3-K3</f>
        <v>-857260000000</v>
      </c>
      <c r="N3" s="21"/>
      <c r="O3" s="23">
        <f t="shared" ref="O3:O14" si="4">M3/F3</f>
        <v>-0.03979851439</v>
      </c>
      <c r="P3" s="24">
        <f t="shared" ref="P3:P9" si="5">R3/F3</f>
        <v>1.054754028</v>
      </c>
      <c r="Q3" s="24"/>
      <c r="R3" s="21">
        <f>22719401753433.7</f>
        <v>22719401753434</v>
      </c>
      <c r="S3" s="31">
        <v>0.0225</v>
      </c>
      <c r="T3" s="21">
        <f t="shared" ref="T3:T14" si="6">R3*S3</f>
        <v>511186539452</v>
      </c>
      <c r="U3" s="23">
        <f t="shared" ref="U3:U14" si="7">T3/F3</f>
        <v>0.02373196562</v>
      </c>
      <c r="V3" s="31">
        <v>0.02</v>
      </c>
      <c r="W3" s="21">
        <f t="shared" ref="W3:W14" si="8">F3/H3</f>
        <v>65228.0111</v>
      </c>
      <c r="X3" s="25">
        <f t="shared" ref="X3:X14" si="9">W3*(1-V3)</f>
        <v>63923.45088</v>
      </c>
      <c r="Y3" s="3">
        <v>0.936</v>
      </c>
      <c r="Z3" s="3"/>
      <c r="AA3" s="3">
        <v>0.419</v>
      </c>
      <c r="AB3" s="3"/>
      <c r="AC3" s="26">
        <f t="shared" ref="AC3:AC14" si="10">Y3-AA3</f>
        <v>0.517</v>
      </c>
      <c r="AD3" s="27">
        <f t="shared" ref="AD3:AG3" si="1">AD4+($AH3-$AH4)/4</f>
        <v>0.1297805793</v>
      </c>
      <c r="AE3" s="27">
        <f t="shared" si="1"/>
        <v>0.1447805793</v>
      </c>
      <c r="AF3" s="27">
        <f t="shared" si="1"/>
        <v>0.04878057931</v>
      </c>
      <c r="AG3" s="27">
        <f t="shared" si="1"/>
        <v>0.02318057931</v>
      </c>
      <c r="AH3" s="23">
        <f t="shared" ref="AH3:AH8" si="12">AH4*95%</f>
        <v>0.3465223172</v>
      </c>
      <c r="AI3" s="39">
        <f t="shared" ref="AI3:AI14" si="13">AH3+J3+O3-U3</f>
        <v>0.5286018714</v>
      </c>
      <c r="AJ3" s="29">
        <f t="shared" ref="AJ3:AJ14" si="14">X3*AC3</f>
        <v>33048.4241</v>
      </c>
      <c r="AK3" s="30" t="str">
        <f t="shared" ref="AK3:AK14" si="15">IFS(
AJ3&lt;=2500,"D-",
AJ3&lt;=5000,"D",
AJ3&lt;=10000,"D+",
AJ3&lt;=12500,"C-",
AJ3&lt;=15000,"C",
AJ3&lt;=20000,"C+",
AJ3&lt;=25000,"B-",
AJ3&lt;=30000,"B",
AJ3&lt;=35000,"B+",
AJ3&lt;=40000,"A-",
AJ3&lt;=50000,"A",
AJ3&lt;=100000,"A+",
TRUE,"Out of range"
)
</f>
        <v>B+</v>
      </c>
      <c r="AL3" s="30" t="str">
        <f t="shared" ref="AL3:AL14" si="16">CONCAT(ROUND(AI3,2),AK3)</f>
        <v>0.53B+</v>
      </c>
    </row>
    <row r="4">
      <c r="A4" s="1">
        <v>2020.0</v>
      </c>
      <c r="B4" s="21">
        <f>84.75*1000000000000</f>
        <v>84750000000000</v>
      </c>
      <c r="C4" s="24">
        <f t="shared" ref="C4:C13" si="17">(B4-B3)/B3</f>
        <v>-0.03363740023</v>
      </c>
      <c r="D4" s="22">
        <f>7.89*10^9</f>
        <v>7890000000</v>
      </c>
      <c r="E4" s="24">
        <f t="shared" ref="E4:E13" si="18">(D4-D3)/D3</f>
        <v>0.01024327785</v>
      </c>
      <c r="F4" s="21">
        <f>21.35*1000000000000</f>
        <v>21350000000000</v>
      </c>
      <c r="G4" s="24">
        <f t="shared" ref="G4:G13" si="19">(F4-F3)/F3</f>
        <v>-0.008820798514</v>
      </c>
      <c r="H4" s="22">
        <f>331577720</f>
        <v>331577720</v>
      </c>
      <c r="I4" s="24">
        <f t="shared" ref="I4:I13" si="20">(H4-H3)/H3</f>
        <v>0.004092627688</v>
      </c>
      <c r="J4" s="23">
        <f t="shared" si="2"/>
        <v>0.2519174041</v>
      </c>
      <c r="K4" s="21">
        <f>2346.73*1000000000</f>
        <v>2346730000000</v>
      </c>
      <c r="L4" s="21">
        <f>1433.85*1000000000</f>
        <v>1433850000000</v>
      </c>
      <c r="M4" s="21">
        <f t="shared" si="3"/>
        <v>-912880000000</v>
      </c>
      <c r="N4" s="24">
        <f t="shared" ref="N4:N14" si="21">(M4-M3)/M3</f>
        <v>0.06488113291</v>
      </c>
      <c r="O4" s="23">
        <f t="shared" si="4"/>
        <v>-0.04275784543</v>
      </c>
      <c r="P4" s="24">
        <f t="shared" si="5"/>
        <v>1.262079213</v>
      </c>
      <c r="Q4" s="24">
        <f t="shared" ref="Q4:Q13" si="22">(P4-P3)/P3</f>
        <v>0.1965625917</v>
      </c>
      <c r="R4" s="21">
        <f>26945391194615.1</f>
        <v>26945391194615</v>
      </c>
      <c r="S4" s="31">
        <v>0.0025</v>
      </c>
      <c r="T4" s="21">
        <f t="shared" si="6"/>
        <v>67363477987</v>
      </c>
      <c r="U4" s="23">
        <f t="shared" si="7"/>
        <v>0.003155198032</v>
      </c>
      <c r="V4" s="31">
        <v>0.003</v>
      </c>
      <c r="W4" s="21">
        <f t="shared" si="8"/>
        <v>64389.12723</v>
      </c>
      <c r="X4" s="25">
        <f t="shared" si="9"/>
        <v>64195.95985</v>
      </c>
      <c r="Y4" s="3">
        <v>0.925</v>
      </c>
      <c r="Z4" s="31">
        <f t="shared" ref="Z4:Z13" si="23">(Y4-Y3)/Y3</f>
        <v>-0.01175213675</v>
      </c>
      <c r="AA4" s="3">
        <v>0.4</v>
      </c>
      <c r="AB4" s="31">
        <f t="shared" ref="AB4:AB13" si="24">(AA4-AA3)/AA4</f>
        <v>-0.0475</v>
      </c>
      <c r="AC4" s="26">
        <f t="shared" si="10"/>
        <v>0.525</v>
      </c>
      <c r="AD4" s="27">
        <f t="shared" ref="AD4:AG4" si="11">AD5+($AH4-$AH5)/4</f>
        <v>0.1343400835</v>
      </c>
      <c r="AE4" s="27">
        <f t="shared" si="11"/>
        <v>0.1493400835</v>
      </c>
      <c r="AF4" s="27">
        <f t="shared" si="11"/>
        <v>0.05334008348</v>
      </c>
      <c r="AG4" s="27">
        <f t="shared" si="11"/>
        <v>0.02774008348</v>
      </c>
      <c r="AH4" s="23">
        <f t="shared" si="12"/>
        <v>0.3647603339</v>
      </c>
      <c r="AI4" s="39">
        <f t="shared" si="13"/>
        <v>0.5707646946</v>
      </c>
      <c r="AJ4" s="29">
        <f t="shared" si="14"/>
        <v>33702.87892</v>
      </c>
      <c r="AK4" s="30" t="str">
        <f t="shared" si="15"/>
        <v>B+</v>
      </c>
      <c r="AL4" s="30" t="str">
        <f t="shared" si="16"/>
        <v>0.57B+</v>
      </c>
    </row>
    <row r="5">
      <c r="A5" s="1">
        <v>2021.0</v>
      </c>
      <c r="B5" s="21">
        <f>96.14*1000000000000</f>
        <v>96140000000000</v>
      </c>
      <c r="C5" s="24">
        <f t="shared" si="17"/>
        <v>0.1343952802</v>
      </c>
      <c r="D5" s="22">
        <f>7.95*10^9</f>
        <v>7950000000</v>
      </c>
      <c r="E5" s="24">
        <f t="shared" si="18"/>
        <v>0.007604562738</v>
      </c>
      <c r="F5" s="21">
        <f>23.68*1000000000000</f>
        <v>23680000000000</v>
      </c>
      <c r="G5" s="24">
        <f t="shared" si="19"/>
        <v>0.1091334895</v>
      </c>
      <c r="H5" s="22">
        <f>332099760</f>
        <v>332099760</v>
      </c>
      <c r="I5" s="24">
        <f t="shared" si="20"/>
        <v>0.001574412177</v>
      </c>
      <c r="J5" s="23">
        <f t="shared" si="2"/>
        <v>0.2463074683</v>
      </c>
      <c r="K5" s="21">
        <f>2849.04*1000000000</f>
        <v>2849040000000</v>
      </c>
      <c r="L5" s="21">
        <f>1765.85*1000000000</f>
        <v>1765850000000</v>
      </c>
      <c r="M5" s="21">
        <f t="shared" si="3"/>
        <v>-1083190000000</v>
      </c>
      <c r="N5" s="24">
        <f t="shared" si="21"/>
        <v>0.1865634037</v>
      </c>
      <c r="O5" s="23">
        <f t="shared" si="4"/>
        <v>-0.04574282095</v>
      </c>
      <c r="P5" s="24">
        <f t="shared" si="5"/>
        <v>1.200545548</v>
      </c>
      <c r="Q5" s="24">
        <f t="shared" si="22"/>
        <v>-0.04875578689</v>
      </c>
      <c r="R5" s="33">
        <v>2.84289185700486E13</v>
      </c>
      <c r="S5" s="31">
        <v>0.0025</v>
      </c>
      <c r="T5" s="21">
        <f t="shared" si="6"/>
        <v>71072296425</v>
      </c>
      <c r="U5" s="23">
        <f t="shared" si="7"/>
        <v>0.003001363869</v>
      </c>
      <c r="V5" s="31">
        <v>0.042</v>
      </c>
      <c r="W5" s="21">
        <f t="shared" si="8"/>
        <v>71303.87568</v>
      </c>
      <c r="X5" s="25">
        <f t="shared" si="9"/>
        <v>68309.1129</v>
      </c>
      <c r="Y5" s="3">
        <v>0.921</v>
      </c>
      <c r="Z5" s="31">
        <f t="shared" si="23"/>
        <v>-0.004324324324</v>
      </c>
      <c r="AA5" s="3">
        <v>0.397</v>
      </c>
      <c r="AB5" s="31">
        <f t="shared" si="24"/>
        <v>-0.007556675063</v>
      </c>
      <c r="AC5" s="26">
        <f t="shared" si="10"/>
        <v>0.524</v>
      </c>
      <c r="AD5" s="27">
        <f t="shared" ref="AD5:AG5" si="25">AD6+($AH5-$AH6)/4</f>
        <v>0.1391395616</v>
      </c>
      <c r="AE5" s="27">
        <f t="shared" si="25"/>
        <v>0.1541395616</v>
      </c>
      <c r="AF5" s="27">
        <f t="shared" si="25"/>
        <v>0.05813956156</v>
      </c>
      <c r="AG5" s="27">
        <f t="shared" si="25"/>
        <v>0.03253956156</v>
      </c>
      <c r="AH5" s="23">
        <f t="shared" si="12"/>
        <v>0.3839582463</v>
      </c>
      <c r="AI5" s="39">
        <f t="shared" si="13"/>
        <v>0.5815215297</v>
      </c>
      <c r="AJ5" s="29">
        <f t="shared" si="14"/>
        <v>35793.97516</v>
      </c>
      <c r="AK5" s="30" t="str">
        <f t="shared" si="15"/>
        <v>A-</v>
      </c>
      <c r="AL5" s="30" t="str">
        <f t="shared" si="16"/>
        <v>0.58A-</v>
      </c>
    </row>
    <row r="6">
      <c r="A6" s="1">
        <v>2022.0</v>
      </c>
      <c r="B6" s="21">
        <f>101.56*1000000000000</f>
        <v>101560000000000</v>
      </c>
      <c r="C6" s="24">
        <f t="shared" si="17"/>
        <v>0.05637611816</v>
      </c>
      <c r="D6" s="22">
        <f>8.02*10^9</f>
        <v>8020000000</v>
      </c>
      <c r="E6" s="24">
        <f t="shared" si="18"/>
        <v>0.008805031447</v>
      </c>
      <c r="F6" s="21">
        <f>26.01*1000000000000</f>
        <v>26010000000000</v>
      </c>
      <c r="G6" s="24">
        <f t="shared" si="19"/>
        <v>0.09839527027</v>
      </c>
      <c r="H6" s="22">
        <f>334017321</f>
        <v>334017321</v>
      </c>
      <c r="I6" s="24">
        <f t="shared" si="20"/>
        <v>0.005774051147</v>
      </c>
      <c r="J6" s="23">
        <f t="shared" si="2"/>
        <v>0.2561047657</v>
      </c>
      <c r="K6" s="21">
        <f>3270.28*1000000000</f>
        <v>3270280000000</v>
      </c>
      <c r="L6" s="21">
        <f>2090.34*1000000000</f>
        <v>2090340000000</v>
      </c>
      <c r="M6" s="21">
        <f t="shared" si="3"/>
        <v>-1179940000000</v>
      </c>
      <c r="N6" s="24">
        <f t="shared" si="21"/>
        <v>0.08931950997</v>
      </c>
      <c r="O6" s="23">
        <f t="shared" si="4"/>
        <v>-0.04536485967</v>
      </c>
      <c r="P6" s="24">
        <f t="shared" si="5"/>
        <v>1.189116171</v>
      </c>
      <c r="Q6" s="24">
        <f t="shared" si="22"/>
        <v>-0.009520152341</v>
      </c>
      <c r="R6" s="21">
        <f>30928911613306.7</f>
        <v>30928911613307</v>
      </c>
      <c r="S6" s="31">
        <v>0.025</v>
      </c>
      <c r="T6" s="21">
        <f t="shared" si="6"/>
        <v>773222790333</v>
      </c>
      <c r="U6" s="23">
        <f t="shared" si="7"/>
        <v>0.02972790428</v>
      </c>
      <c r="V6" s="31">
        <v>0.083</v>
      </c>
      <c r="W6" s="21">
        <f t="shared" si="8"/>
        <v>77870.2132</v>
      </c>
      <c r="X6" s="25">
        <f t="shared" si="9"/>
        <v>71406.98551</v>
      </c>
      <c r="Y6" s="3">
        <v>0.93</v>
      </c>
      <c r="Z6" s="31">
        <f t="shared" si="23"/>
        <v>0.009771986971</v>
      </c>
      <c r="AA6" s="3">
        <v>0.417</v>
      </c>
      <c r="AB6" s="31">
        <f t="shared" si="24"/>
        <v>0.0479616307</v>
      </c>
      <c r="AC6" s="26">
        <f t="shared" si="10"/>
        <v>0.513</v>
      </c>
      <c r="AD6" s="27">
        <f t="shared" ref="AD6:AG6" si="26">AD7+($AH6-$AH7)/4</f>
        <v>0.1441916438</v>
      </c>
      <c r="AE6" s="27">
        <f t="shared" si="26"/>
        <v>0.1591916438</v>
      </c>
      <c r="AF6" s="27">
        <f t="shared" si="26"/>
        <v>0.06319164375</v>
      </c>
      <c r="AG6" s="27">
        <f t="shared" si="26"/>
        <v>0.03759164375</v>
      </c>
      <c r="AH6" s="23">
        <f t="shared" si="12"/>
        <v>0.404166575</v>
      </c>
      <c r="AI6" s="39">
        <f t="shared" si="13"/>
        <v>0.5851785767</v>
      </c>
      <c r="AJ6" s="29">
        <f t="shared" si="14"/>
        <v>36631.78357</v>
      </c>
      <c r="AK6" s="30" t="str">
        <f t="shared" si="15"/>
        <v>A-</v>
      </c>
      <c r="AL6" s="30" t="str">
        <f t="shared" si="16"/>
        <v>0.59A-</v>
      </c>
    </row>
    <row r="7">
      <c r="A7" s="1">
        <v>2023.0</v>
      </c>
      <c r="B7" s="21">
        <f>106.8*1000000000000</f>
        <v>106800000000000</v>
      </c>
      <c r="C7" s="24">
        <f t="shared" si="17"/>
        <v>0.05159511619</v>
      </c>
      <c r="D7" s="32">
        <f>8.09*10^9</f>
        <v>8090000000</v>
      </c>
      <c r="E7" s="24">
        <f t="shared" si="18"/>
        <v>0.008728179551</v>
      </c>
      <c r="F7" s="21">
        <f>27.72*1000000000000</f>
        <v>27720000000000</v>
      </c>
      <c r="G7" s="24">
        <f t="shared" si="19"/>
        <v>0.06574394464</v>
      </c>
      <c r="H7" s="22">
        <f>336806231</f>
        <v>336806231</v>
      </c>
      <c r="I7" s="24">
        <f t="shared" si="20"/>
        <v>0.008349596936</v>
      </c>
      <c r="J7" s="23">
        <f t="shared" si="2"/>
        <v>0.2595505618</v>
      </c>
      <c r="K7" s="21">
        <f>3108.51*1000000000</f>
        <v>3108510000000</v>
      </c>
      <c r="L7" s="21">
        <f>2045.22*1000000000</f>
        <v>2045220000000</v>
      </c>
      <c r="M7" s="21">
        <f t="shared" si="3"/>
        <v>-1063290000000</v>
      </c>
      <c r="N7" s="24">
        <f t="shared" si="21"/>
        <v>-0.09886095903</v>
      </c>
      <c r="O7" s="23">
        <f t="shared" si="4"/>
        <v>-0.03835822511</v>
      </c>
      <c r="P7" s="24">
        <f t="shared" si="5"/>
        <v>1.196512772</v>
      </c>
      <c r="Q7" s="24">
        <f t="shared" si="22"/>
        <v>0.006220250923</v>
      </c>
      <c r="R7" s="21">
        <f>33167334044723.1</f>
        <v>33167334044723</v>
      </c>
      <c r="S7" s="31">
        <v>0.055</v>
      </c>
      <c r="T7" s="21">
        <f t="shared" si="6"/>
        <v>1824203372460</v>
      </c>
      <c r="U7" s="23">
        <f t="shared" si="7"/>
        <v>0.06580820247</v>
      </c>
      <c r="V7" s="31">
        <v>0.049</v>
      </c>
      <c r="W7" s="21">
        <f t="shared" si="8"/>
        <v>82302.51536</v>
      </c>
      <c r="X7" s="25">
        <f t="shared" si="9"/>
        <v>78269.69211</v>
      </c>
      <c r="Y7" s="3">
        <v>0.938</v>
      </c>
      <c r="Z7" s="31">
        <f t="shared" si="23"/>
        <v>0.008602150538</v>
      </c>
      <c r="AA7" s="3">
        <v>0.418</v>
      </c>
      <c r="AB7" s="31">
        <f t="shared" si="24"/>
        <v>0.002392344498</v>
      </c>
      <c r="AC7" s="26">
        <f t="shared" si="10"/>
        <v>0.52</v>
      </c>
      <c r="AD7" s="27">
        <f t="shared" ref="AD7:AG7" si="27">AD8+($AH7-$AH8)/4</f>
        <v>0.149509625</v>
      </c>
      <c r="AE7" s="27">
        <f t="shared" si="27"/>
        <v>0.164509625</v>
      </c>
      <c r="AF7" s="27">
        <f t="shared" si="27"/>
        <v>0.068509625</v>
      </c>
      <c r="AG7" s="27">
        <f t="shared" si="27"/>
        <v>0.042909625</v>
      </c>
      <c r="AH7" s="23">
        <f t="shared" si="12"/>
        <v>0.4254385</v>
      </c>
      <c r="AI7" s="39">
        <f t="shared" si="13"/>
        <v>0.5808226342</v>
      </c>
      <c r="AJ7" s="29">
        <f t="shared" si="14"/>
        <v>40700.2399</v>
      </c>
      <c r="AK7" s="30" t="str">
        <f t="shared" si="15"/>
        <v>A</v>
      </c>
      <c r="AL7" s="30" t="str">
        <f t="shared" si="16"/>
        <v>0.58A</v>
      </c>
    </row>
    <row r="8">
      <c r="A8" s="1">
        <v>2024.0</v>
      </c>
      <c r="B8" s="21">
        <f>112.6*1000000000000</f>
        <v>112600000000000</v>
      </c>
      <c r="C8" s="24">
        <f t="shared" si="17"/>
        <v>0.0543071161</v>
      </c>
      <c r="D8" s="32">
        <v>8.161972572E9</v>
      </c>
      <c r="E8" s="24">
        <f t="shared" si="18"/>
        <v>0.008896486032</v>
      </c>
      <c r="F8" s="21">
        <f>29.18*1000000000000</f>
        <v>29180000000000</v>
      </c>
      <c r="G8" s="24">
        <f t="shared" si="19"/>
        <v>0.05266955267</v>
      </c>
      <c r="H8" s="22">
        <f>340110988</f>
        <v>340110988</v>
      </c>
      <c r="I8" s="24">
        <f t="shared" si="20"/>
        <v>0.009812042343</v>
      </c>
      <c r="J8" s="23">
        <f t="shared" si="2"/>
        <v>0.2591474245</v>
      </c>
      <c r="K8" s="21">
        <f>3296.24*1000000000</f>
        <v>3296240000000</v>
      </c>
      <c r="L8" s="21">
        <f>2093.25*1000000000</f>
        <v>2093250000000</v>
      </c>
      <c r="M8" s="21">
        <f t="shared" si="3"/>
        <v>-1202990000000</v>
      </c>
      <c r="N8" s="24">
        <f t="shared" si="21"/>
        <v>0.1313846646</v>
      </c>
      <c r="O8" s="23">
        <f t="shared" si="4"/>
        <v>-0.04122652502</v>
      </c>
      <c r="P8" s="24">
        <f t="shared" si="5"/>
        <v>1.215376077</v>
      </c>
      <c r="Q8" s="24">
        <f t="shared" si="22"/>
        <v>0.01576523489</v>
      </c>
      <c r="R8" s="21">
        <f>35464673929171.6</f>
        <v>35464673929172</v>
      </c>
      <c r="S8" s="31">
        <v>0.055</v>
      </c>
      <c r="T8" s="21">
        <f t="shared" si="6"/>
        <v>1950557066104</v>
      </c>
      <c r="U8" s="23">
        <f t="shared" si="7"/>
        <v>0.06684568424</v>
      </c>
      <c r="V8" s="31">
        <v>0.034</v>
      </c>
      <c r="W8" s="21">
        <f t="shared" si="8"/>
        <v>85795.52273</v>
      </c>
      <c r="X8" s="25">
        <f t="shared" si="9"/>
        <v>82878.47495</v>
      </c>
      <c r="Y8" s="30">
        <f>AVERAGE(Y7,Y9)</f>
        <v>0.943</v>
      </c>
      <c r="Z8" s="31">
        <f t="shared" si="23"/>
        <v>0.005330490405</v>
      </c>
      <c r="AA8" s="30">
        <f>AVERAGE(AA7,AA9)</f>
        <v>0.419</v>
      </c>
      <c r="AB8" s="31">
        <f t="shared" si="24"/>
        <v>0.002386634845</v>
      </c>
      <c r="AC8" s="26">
        <f t="shared" si="10"/>
        <v>0.524</v>
      </c>
      <c r="AD8" s="27">
        <f t="shared" ref="AD8:AG8" si="28">AD9+($AH8-$AH9)/4</f>
        <v>0.1551075</v>
      </c>
      <c r="AE8" s="27">
        <f t="shared" si="28"/>
        <v>0.1701075</v>
      </c>
      <c r="AF8" s="27">
        <f t="shared" si="28"/>
        <v>0.0741075</v>
      </c>
      <c r="AG8" s="27">
        <f t="shared" si="28"/>
        <v>0.0485075</v>
      </c>
      <c r="AH8" s="23">
        <f t="shared" si="12"/>
        <v>0.44783</v>
      </c>
      <c r="AI8" s="39">
        <f t="shared" si="13"/>
        <v>0.5989052153</v>
      </c>
      <c r="AJ8" s="29">
        <f t="shared" si="14"/>
        <v>43428.32088</v>
      </c>
      <c r="AK8" s="30" t="str">
        <f t="shared" si="15"/>
        <v>A</v>
      </c>
      <c r="AL8" s="30" t="str">
        <f t="shared" si="16"/>
        <v>0.6A</v>
      </c>
    </row>
    <row r="9">
      <c r="A9" s="1">
        <v>2025.0</v>
      </c>
      <c r="B9" s="33">
        <v>1.13795678E14</v>
      </c>
      <c r="C9" s="24">
        <f t="shared" si="17"/>
        <v>0.01061880995</v>
      </c>
      <c r="D9" s="32">
        <v>8.23161307E9</v>
      </c>
      <c r="E9" s="24">
        <f t="shared" si="18"/>
        <v>0.008532312181</v>
      </c>
      <c r="F9" s="33">
        <v>3.0507217E13</v>
      </c>
      <c r="G9" s="24">
        <f t="shared" si="19"/>
        <v>0.04548379027</v>
      </c>
      <c r="H9" s="32">
        <v>3.38E8</v>
      </c>
      <c r="I9" s="24">
        <f t="shared" si="20"/>
        <v>-0.006206762129</v>
      </c>
      <c r="J9" s="23">
        <f t="shared" si="2"/>
        <v>0.2680876597</v>
      </c>
      <c r="K9" s="33">
        <f>(6786/2)*1000000000</f>
        <v>3393000000000</v>
      </c>
      <c r="L9" s="33">
        <f>2393*1000000000</f>
        <v>2393000000000</v>
      </c>
      <c r="M9" s="33">
        <f t="shared" si="3"/>
        <v>-1000000000000</v>
      </c>
      <c r="N9" s="24">
        <f t="shared" si="21"/>
        <v>-0.1687378947</v>
      </c>
      <c r="O9" s="23">
        <f t="shared" si="4"/>
        <v>-0.03277912895</v>
      </c>
      <c r="P9" s="24">
        <f t="shared" si="5"/>
        <v>1.186604468</v>
      </c>
      <c r="Q9" s="24">
        <f t="shared" si="22"/>
        <v>-0.02367300918</v>
      </c>
      <c r="R9" s="33">
        <v>3.62E13</v>
      </c>
      <c r="S9" s="24">
        <f>0.045</f>
        <v>0.045</v>
      </c>
      <c r="T9" s="21">
        <f t="shared" si="6"/>
        <v>1629000000000</v>
      </c>
      <c r="U9" s="23">
        <f t="shared" si="7"/>
        <v>0.05339720106</v>
      </c>
      <c r="V9" s="31">
        <v>0.0235</v>
      </c>
      <c r="W9" s="21">
        <f t="shared" si="8"/>
        <v>90258.03846</v>
      </c>
      <c r="X9" s="25">
        <f t="shared" si="9"/>
        <v>88136.97456</v>
      </c>
      <c r="Y9" s="3">
        <v>0.948</v>
      </c>
      <c r="Z9" s="31">
        <f t="shared" si="23"/>
        <v>0.005302226935</v>
      </c>
      <c r="AA9" s="3">
        <v>0.42</v>
      </c>
      <c r="AB9" s="31">
        <f t="shared" si="24"/>
        <v>0.002380952381</v>
      </c>
      <c r="AC9" s="26">
        <f t="shared" si="10"/>
        <v>0.528</v>
      </c>
      <c r="AD9" s="31">
        <v>0.161</v>
      </c>
      <c r="AE9" s="31">
        <v>0.176</v>
      </c>
      <c r="AF9" s="31">
        <v>0.08</v>
      </c>
      <c r="AG9" s="31">
        <v>0.0544</v>
      </c>
      <c r="AH9" s="23">
        <f>SUM(AD9:AG9)</f>
        <v>0.4714</v>
      </c>
      <c r="AI9" s="39">
        <f t="shared" si="13"/>
        <v>0.6533113297</v>
      </c>
      <c r="AJ9" s="29">
        <f t="shared" si="14"/>
        <v>46536.32257</v>
      </c>
      <c r="AK9" s="30" t="str">
        <f t="shared" si="15"/>
        <v>A</v>
      </c>
      <c r="AL9" s="30" t="str">
        <f t="shared" si="16"/>
        <v>0.65A</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32360367393707</v>
      </c>
      <c r="G10" s="24">
        <f t="shared" si="19"/>
        <v>0.06074465572</v>
      </c>
      <c r="H10" s="22">
        <f>AVERAGE(FORECAST(A10,H3:H9,$A$3:$A$9),H9*(AVERAGE(I4:I9)+1))</f>
        <v>340225598.8</v>
      </c>
      <c r="I10" s="24">
        <f t="shared" si="20"/>
        <v>0.006584611816</v>
      </c>
      <c r="J10" s="35">
        <f t="shared" si="2"/>
        <v>0.2695264067</v>
      </c>
      <c r="K10" s="36">
        <f>FORECAST(A10,K3:K9,A3:A9)</f>
        <v>3653795714286</v>
      </c>
      <c r="L10" s="36">
        <f t="shared" ref="L10:L14" si="30">K10+M10</f>
        <v>2469782857143</v>
      </c>
      <c r="M10" s="21">
        <f>FORECAST(A10,M3:M9,$A$3:$A$9)</f>
        <v>-1184012857143</v>
      </c>
      <c r="N10" s="24">
        <f t="shared" si="21"/>
        <v>0.1840128571</v>
      </c>
      <c r="O10" s="24">
        <f t="shared" si="4"/>
        <v>-0.03658836263</v>
      </c>
      <c r="P10" s="24">
        <f>AVERAGE(FORECAST(A10,P3:P9,$A$3:$A$9),P9*(AVERAGE(Q4:Q9)+1))</f>
        <v>1.221316844</v>
      </c>
      <c r="Q10" s="24">
        <f t="shared" si="22"/>
        <v>0.02925353579</v>
      </c>
      <c r="R10" s="21">
        <f t="shared" ref="R10:R14" si="31">P10*F10</f>
        <v>39522261786479</v>
      </c>
      <c r="S10" s="24">
        <f>FORECAST(A10,S3:S9,$A$3:$A$9)</f>
        <v>0.06178571429</v>
      </c>
      <c r="T10" s="21">
        <f t="shared" si="6"/>
        <v>2441911174665</v>
      </c>
      <c r="U10" s="24">
        <f t="shared" si="7"/>
        <v>0.0754599336</v>
      </c>
      <c r="V10" s="24">
        <f>FORECAST(A10,V3:V9,$A$3:$A$9)</f>
        <v>0.04771428571</v>
      </c>
      <c r="W10" s="21">
        <f t="shared" si="8"/>
        <v>95114.44027</v>
      </c>
      <c r="X10" s="21">
        <f t="shared" si="9"/>
        <v>90576.12269</v>
      </c>
      <c r="Y10" s="37">
        <f>AVERAGE(FORECAST(A10,Y3:Y9,$A$3:$A$9),Y9*(AVERAGE(Z4:Z9)+1))</f>
        <v>0.9485929297</v>
      </c>
      <c r="Z10" s="31">
        <f t="shared" si="23"/>
        <v>0.0006254532484</v>
      </c>
      <c r="AA10" s="38">
        <f>AVERAGE(FORECAST(A10,AA3:AA9,$A$3:$A$9),AA9*(AVERAGE(AB4:AB9)+1))</f>
        <v>0.4208594139</v>
      </c>
      <c r="AB10" s="31">
        <f t="shared" si="24"/>
        <v>0.002042045125</v>
      </c>
      <c r="AC10" s="37">
        <f t="shared" si="10"/>
        <v>0.5277335158</v>
      </c>
      <c r="AD10" s="27">
        <f t="shared" ref="AD10:AG10" si="29">AD9+($AH10-$AH9)/4</f>
        <v>0.1668925</v>
      </c>
      <c r="AE10" s="27">
        <f t="shared" si="29"/>
        <v>0.1818925</v>
      </c>
      <c r="AF10" s="27">
        <f t="shared" si="29"/>
        <v>0.0858925</v>
      </c>
      <c r="AG10" s="27">
        <f t="shared" si="29"/>
        <v>0.0602925</v>
      </c>
      <c r="AH10" s="24">
        <f t="shared" ref="AH10:AH14" si="33">AH9*1.05</f>
        <v>0.49497</v>
      </c>
      <c r="AI10" s="38">
        <f t="shared" si="13"/>
        <v>0.6524481105</v>
      </c>
      <c r="AJ10" s="21">
        <f t="shared" si="14"/>
        <v>47800.05567</v>
      </c>
      <c r="AK10" s="30" t="str">
        <f t="shared" si="15"/>
        <v>A</v>
      </c>
      <c r="AL10" s="30" t="str">
        <f t="shared" si="16"/>
        <v>0.65A</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34173461630718</v>
      </c>
      <c r="G11" s="24">
        <f t="shared" si="19"/>
        <v>0.05602823401</v>
      </c>
      <c r="H11" s="22">
        <f>AVERAGE(FORECAST($A11,H3:H10,$A3:$A10),H10*(AVERAGE(I4:I10)+1))</f>
        <v>341986344</v>
      </c>
      <c r="I11" s="24">
        <f t="shared" si="20"/>
        <v>0.005175228496</v>
      </c>
      <c r="J11" s="35">
        <f t="shared" si="2"/>
        <v>0.271788399</v>
      </c>
      <c r="K11" s="36">
        <f>FORECAST(A11,K3:K10,A3:A10)</f>
        <v>3825238928572</v>
      </c>
      <c r="L11" s="21">
        <f t="shared" si="30"/>
        <v>2605921071429</v>
      </c>
      <c r="M11" s="21">
        <f>FORECAST(A11,M3:M10,$A3:$A10)</f>
        <v>-1219317857143</v>
      </c>
      <c r="N11" s="24">
        <f t="shared" si="21"/>
        <v>0.02981808837</v>
      </c>
      <c r="O11" s="24">
        <f t="shared" si="4"/>
        <v>-0.03568025593</v>
      </c>
      <c r="P11" s="24">
        <f>AVERAGE(FORECAST($A11,P3:P10,$A3:$A10),P10*(AVERAGE(Q4:Q10)+1))</f>
        <v>1.243033133</v>
      </c>
      <c r="Q11" s="24">
        <f t="shared" si="22"/>
        <v>0.01778104416</v>
      </c>
      <c r="R11" s="21">
        <f t="shared" si="31"/>
        <v>42478745078487</v>
      </c>
      <c r="S11" s="24">
        <f>FORECAST($A11,S3:S10,$A3:$A10)</f>
        <v>0.06982142857</v>
      </c>
      <c r="T11" s="21">
        <f t="shared" si="6"/>
        <v>2965926665302</v>
      </c>
      <c r="U11" s="24">
        <f t="shared" si="7"/>
        <v>0.08679034911</v>
      </c>
      <c r="V11" s="24">
        <f>FORECAST($A11,V3:V10,$A3:$A10)</f>
        <v>0.05055357143</v>
      </c>
      <c r="W11" s="21">
        <f t="shared" si="8"/>
        <v>99926.39247</v>
      </c>
      <c r="X11" s="21">
        <f t="shared" si="9"/>
        <v>94874.75645</v>
      </c>
      <c r="Y11" s="37">
        <f>AVERAGE(FORECAST($A11,Y3:Y10,$A3:$A10),Y10*(AVERAGE(Z4:Z10)+1))</f>
        <v>0.9507381959</v>
      </c>
      <c r="Z11" s="31">
        <f t="shared" si="23"/>
        <v>0.002261524549</v>
      </c>
      <c r="AA11" s="38">
        <f>AVERAGE(FORECAST($A11,AA3:AA10,$A3:$A10),AA10*(AVERAGE(AB4:AB10)+1))</f>
        <v>0.422243612</v>
      </c>
      <c r="AB11" s="31">
        <f t="shared" si="24"/>
        <v>0.003278197893</v>
      </c>
      <c r="AC11" s="37">
        <f t="shared" si="10"/>
        <v>0.5284945838</v>
      </c>
      <c r="AD11" s="27">
        <f t="shared" ref="AD11:AG11" si="32">AD10+($AH11-$AH10)/4</f>
        <v>0.173079625</v>
      </c>
      <c r="AE11" s="27">
        <f t="shared" si="32"/>
        <v>0.188079625</v>
      </c>
      <c r="AF11" s="27">
        <f t="shared" si="32"/>
        <v>0.092079625</v>
      </c>
      <c r="AG11" s="27">
        <f t="shared" si="32"/>
        <v>0.066479625</v>
      </c>
      <c r="AH11" s="24">
        <f t="shared" si="33"/>
        <v>0.5197185</v>
      </c>
      <c r="AI11" s="38">
        <f t="shared" si="13"/>
        <v>0.669036294</v>
      </c>
      <c r="AJ11" s="21">
        <f t="shared" si="14"/>
        <v>50140.79493</v>
      </c>
      <c r="AK11" s="30" t="str">
        <f t="shared" si="15"/>
        <v>A+</v>
      </c>
      <c r="AL11" s="30" t="str">
        <f t="shared" si="16"/>
        <v>0.67A+</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35989111080848</v>
      </c>
      <c r="G12" s="24">
        <f t="shared" si="19"/>
        <v>0.0531303931</v>
      </c>
      <c r="H12" s="22">
        <f>AVERAGE(FORECAST($A12,H3:H11,$A3:$A11),H11*(AVERAGE(I4:I11)+1))</f>
        <v>343589535.1</v>
      </c>
      <c r="I12" s="24">
        <f t="shared" si="20"/>
        <v>0.004687880413</v>
      </c>
      <c r="J12" s="35">
        <f t="shared" si="2"/>
        <v>0.2742289888</v>
      </c>
      <c r="K12" s="36">
        <f>FORECAST(A12,K3:K11,A3:A11)</f>
        <v>3996682142857</v>
      </c>
      <c r="L12" s="21">
        <f t="shared" si="30"/>
        <v>2742059285714</v>
      </c>
      <c r="M12" s="21">
        <f>FORECAST(A12,M3:M11,$A3:$A11)</f>
        <v>-1254622857143</v>
      </c>
      <c r="N12" s="24">
        <f t="shared" si="21"/>
        <v>0.02895471414</v>
      </c>
      <c r="O12" s="24">
        <f t="shared" si="4"/>
        <v>-0.03486117938</v>
      </c>
      <c r="P12" s="24">
        <f>AVERAGE(FORECAST($A12,P3:P11,$A3:$A11),P11*(AVERAGE(Q4:Q11)+1))</f>
        <v>1.260296521</v>
      </c>
      <c r="Q12" s="24">
        <f t="shared" si="22"/>
        <v>0.01388811584</v>
      </c>
      <c r="R12" s="21">
        <f t="shared" si="31"/>
        <v>45356951496476</v>
      </c>
      <c r="S12" s="24">
        <f>FORECAST($A12,S3:S11,$A3:$A11)</f>
        <v>0.07785714286</v>
      </c>
      <c r="T12" s="21">
        <f t="shared" si="6"/>
        <v>3531362652226</v>
      </c>
      <c r="U12" s="24">
        <f t="shared" si="7"/>
        <v>0.09812308629</v>
      </c>
      <c r="V12" s="24">
        <f>FORECAST($A12,V3:V11,$A3:$A11)</f>
        <v>0.05339285714</v>
      </c>
      <c r="W12" s="21">
        <f t="shared" si="8"/>
        <v>104744.4913</v>
      </c>
      <c r="X12" s="21">
        <f t="shared" si="9"/>
        <v>99151.88367</v>
      </c>
      <c r="Y12" s="37">
        <f>AVERAGE(FORECAST($A12,Y3:Y11,$A3:$A11),Y11*(AVERAGE(Z4:Z11)+1))</f>
        <v>0.9534134178</v>
      </c>
      <c r="Z12" s="31">
        <f t="shared" si="23"/>
        <v>0.002813836542</v>
      </c>
      <c r="AA12" s="37">
        <f>AVERAGE(FORECAST($A12,AA3:AA11,$A3:$A11),AA11*(AVERAGE(AB4:AB11)+1))</f>
        <v>0.4238065621</v>
      </c>
      <c r="AB12" s="31">
        <f t="shared" si="24"/>
        <v>0.003687885528</v>
      </c>
      <c r="AC12" s="37">
        <f t="shared" si="10"/>
        <v>0.5296068556</v>
      </c>
      <c r="AD12" s="27">
        <f t="shared" ref="AD12:AG12" si="34">AD11+($AH12-$AH11)/4</f>
        <v>0.1795761063</v>
      </c>
      <c r="AE12" s="27">
        <f t="shared" si="34"/>
        <v>0.1945761063</v>
      </c>
      <c r="AF12" s="27">
        <f t="shared" si="34"/>
        <v>0.09857610625</v>
      </c>
      <c r="AG12" s="27">
        <f t="shared" si="34"/>
        <v>0.07297610625</v>
      </c>
      <c r="AH12" s="24">
        <f t="shared" si="33"/>
        <v>0.545704425</v>
      </c>
      <c r="AI12" s="38">
        <f t="shared" si="13"/>
        <v>0.6869491481</v>
      </c>
      <c r="AJ12" s="21">
        <f t="shared" si="14"/>
        <v>52511.51734</v>
      </c>
      <c r="AK12" s="30" t="str">
        <f t="shared" si="15"/>
        <v>A+</v>
      </c>
      <c r="AL12" s="30" t="str">
        <f t="shared" si="16"/>
        <v>0.69A+</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37820753641775</v>
      </c>
      <c r="G13" s="24">
        <f t="shared" si="19"/>
        <v>0.05089435404</v>
      </c>
      <c r="H13" s="22">
        <f>AVERAGE(FORECAST($A13,H3:H12,$A3:$A12),H12*(AVERAGE(I4:I12)+1))</f>
        <v>345137504.5</v>
      </c>
      <c r="I13" s="24">
        <f t="shared" si="20"/>
        <v>0.004505286902</v>
      </c>
      <c r="J13" s="35">
        <f t="shared" si="2"/>
        <v>0.2766444858</v>
      </c>
      <c r="K13" s="36">
        <f>FORECAST(A13,K3:K12,A3:A12)</f>
        <v>4168125357143</v>
      </c>
      <c r="L13" s="21">
        <f t="shared" si="30"/>
        <v>2878197500000</v>
      </c>
      <c r="M13" s="21">
        <f>FORECAST(A13,M3:M12,$A3:$A12)</f>
        <v>-1289927857143</v>
      </c>
      <c r="N13" s="24">
        <f t="shared" si="21"/>
        <v>0.0281399305</v>
      </c>
      <c r="O13" s="24">
        <f t="shared" si="4"/>
        <v>-0.0341063499</v>
      </c>
      <c r="P13" s="24">
        <f>AVERAGE(FORECAST($A13,P3:P12,$A3:$A12),P12*(AVERAGE(Q4:Q12)+1))</f>
        <v>1.275988857</v>
      </c>
      <c r="Q13" s="24">
        <f t="shared" si="22"/>
        <v>0.01245130455</v>
      </c>
      <c r="R13" s="21">
        <f t="shared" si="31"/>
        <v>48258860210723</v>
      </c>
      <c r="S13" s="24">
        <f>FORECAST($A13,S3:S12,$A3:$A12)</f>
        <v>0.08589285714</v>
      </c>
      <c r="T13" s="21">
        <f t="shared" si="6"/>
        <v>4145091385957</v>
      </c>
      <c r="U13" s="24">
        <f t="shared" si="7"/>
        <v>0.1095983286</v>
      </c>
      <c r="V13" s="24">
        <f>FORECAST($A13,V3:V12,$A3:$A12)</f>
        <v>0.05623214286</v>
      </c>
      <c r="W13" s="21">
        <f t="shared" si="8"/>
        <v>109581.6976</v>
      </c>
      <c r="X13" s="21">
        <f t="shared" si="9"/>
        <v>103419.6839</v>
      </c>
      <c r="Y13" s="37">
        <f>AVERAGE(FORECAST($A13,Y3:Y12,$A3:$A12),Y12*(AVERAGE(Z4:Z12)+1))</f>
        <v>0.9562783292</v>
      </c>
      <c r="Z13" s="31">
        <f t="shared" si="23"/>
        <v>0.003004899485</v>
      </c>
      <c r="AA13" s="37">
        <f>AVERAGE(FORECAST($A13,AA3:AA12,$A3:$A12),AA12*(AVERAGE(AB4:AB12)+1))</f>
        <v>0.4254334064</v>
      </c>
      <c r="AB13" s="31">
        <f t="shared" si="24"/>
        <v>0.003823969376</v>
      </c>
      <c r="AC13" s="37">
        <f t="shared" si="10"/>
        <v>0.5308449228</v>
      </c>
      <c r="AD13" s="27">
        <f t="shared" ref="AD13:AG13" si="35">AD12+($AH13-$AH12)/4</f>
        <v>0.1863974116</v>
      </c>
      <c r="AE13" s="27">
        <f t="shared" si="35"/>
        <v>0.2013974116</v>
      </c>
      <c r="AF13" s="27">
        <f t="shared" si="35"/>
        <v>0.1053974116</v>
      </c>
      <c r="AG13" s="27">
        <f t="shared" si="35"/>
        <v>0.07979741156</v>
      </c>
      <c r="AH13" s="24">
        <f t="shared" si="33"/>
        <v>0.5729896463</v>
      </c>
      <c r="AI13" s="38">
        <f t="shared" si="13"/>
        <v>0.7059294536</v>
      </c>
      <c r="AJ13" s="21">
        <f t="shared" si="14"/>
        <v>54899.81412</v>
      </c>
      <c r="AK13" s="30" t="str">
        <f t="shared" si="15"/>
        <v>A+</v>
      </c>
      <c r="AL13" s="30" t="str">
        <f t="shared" si="16"/>
        <v>0.71A+</v>
      </c>
    </row>
    <row r="14">
      <c r="A14" s="34">
        <v>2030.0</v>
      </c>
      <c r="B14" s="21">
        <f>AVERAGE(FORECAST($A14,B5:B13,$A5:$A13),B13*(AVERAGE(C6:C13)+1))</f>
        <v>141834754671550</v>
      </c>
      <c r="C14" s="24"/>
      <c r="D14" s="22">
        <f>AVERAGE(FORECAST($A14,D5:D13,$A5:$A13),D13*(AVERAGE(E6:E13)+1))</f>
        <v>8586617399</v>
      </c>
      <c r="E14" s="24"/>
      <c r="F14" s="21">
        <f>AVERAGE(FORECAST($A14,F5:F13,$A5:$A13),F13*(AVERAGE(G6:G13)+1))</f>
        <v>39740172889890</v>
      </c>
      <c r="H14" s="22">
        <f>AVERAGE(FORECAST($A14,H5:H13,$A5:$A13),H13*(AVERAGE(I6:I13)+1))</f>
        <v>346763170.9</v>
      </c>
      <c r="J14" s="35">
        <f t="shared" si="2"/>
        <v>0.2801864253</v>
      </c>
      <c r="K14" s="36">
        <f>FORECAST(A14,K3:K13,A3:A13)</f>
        <v>4339568571429</v>
      </c>
      <c r="L14" s="21">
        <f t="shared" si="30"/>
        <v>3014335714286</v>
      </c>
      <c r="M14" s="21">
        <f>FORECAST(A14,M3:M13,$A3:$A13)</f>
        <v>-1325232857143</v>
      </c>
      <c r="N14" s="24">
        <f t="shared" si="21"/>
        <v>0.0273697477</v>
      </c>
      <c r="O14" s="24">
        <f t="shared" si="4"/>
        <v>-0.03334743562</v>
      </c>
      <c r="P14" s="24">
        <f>AVERAGE(FORECAST($A14,P3:P13,$A3:$A13),P13*(AVERAGE(Q4:Q13)+1))</f>
        <v>1.291128013</v>
      </c>
      <c r="R14" s="21">
        <f t="shared" si="31"/>
        <v>51309650444299</v>
      </c>
      <c r="S14" s="24">
        <f>FORECAST($A14,S3:S13,$A3:$A13)</f>
        <v>0.09392857143</v>
      </c>
      <c r="T14" s="21">
        <f t="shared" si="6"/>
        <v>4819442166733</v>
      </c>
      <c r="U14" s="24">
        <f t="shared" si="7"/>
        <v>0.1212738098</v>
      </c>
      <c r="V14" s="24">
        <f>FORECAST($A14,V3:V13,$A3:$A13)</f>
        <v>0.05907142857</v>
      </c>
      <c r="W14" s="21">
        <f t="shared" si="8"/>
        <v>114603.2111</v>
      </c>
      <c r="X14" s="21">
        <f t="shared" si="9"/>
        <v>107833.4357</v>
      </c>
      <c r="Y14" s="37">
        <f>AVERAGE(FORECAST($A14,Y3:Y13,$A3:$A13),Y13*(AVERAGE(Z4:Z13)+1))</f>
        <v>0.9592141413</v>
      </c>
      <c r="AA14" s="37">
        <f>AVERAGE(FORECAST($A14,AA3:AA13,$A3:$A13),AA13*(AVERAGE(AB4:AB13)+1))</f>
        <v>0.4270841692</v>
      </c>
      <c r="AC14" s="37">
        <f t="shared" si="10"/>
        <v>0.5321299721</v>
      </c>
      <c r="AD14" s="27">
        <f t="shared" ref="AD14:AG14" si="36">AD13+($AH14-$AH13)/4</f>
        <v>0.1935597821</v>
      </c>
      <c r="AE14" s="27">
        <f t="shared" si="36"/>
        <v>0.2085597821</v>
      </c>
      <c r="AF14" s="27">
        <f t="shared" si="36"/>
        <v>0.1125597821</v>
      </c>
      <c r="AG14" s="27">
        <f t="shared" si="36"/>
        <v>0.08695978214</v>
      </c>
      <c r="AH14" s="24">
        <f t="shared" si="33"/>
        <v>0.6016391286</v>
      </c>
      <c r="AI14" s="38">
        <f t="shared" si="13"/>
        <v>0.7272043084</v>
      </c>
      <c r="AJ14" s="21">
        <f t="shared" si="14"/>
        <v>57381.40315</v>
      </c>
      <c r="AK14" s="30" t="str">
        <f t="shared" si="15"/>
        <v>A+</v>
      </c>
      <c r="AL14" s="30" t="str">
        <f t="shared" si="16"/>
        <v>0.73A+</v>
      </c>
    </row>
  </sheetData>
  <mergeCells count="1">
    <mergeCell ref="B1:AL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7.63"/>
    <col customWidth="1" min="3" max="3" width="17.5"/>
    <col customWidth="1" min="4" max="4" width="15.25"/>
    <col customWidth="1" min="5" max="5" width="22.5"/>
    <col customWidth="1" min="6" max="7" width="15.88"/>
    <col customWidth="1" min="8" max="8" width="16.5"/>
    <col customWidth="1" min="9" max="9" width="21.0"/>
    <col customWidth="1" min="11" max="12" width="15.88"/>
    <col customWidth="1" min="13" max="13" width="14.13"/>
    <col customWidth="1" min="14" max="14" width="24.0"/>
    <col customWidth="1" min="15" max="15" width="18.38"/>
    <col customWidth="1" min="17" max="17" width="18.5"/>
    <col customWidth="1" min="18" max="18" width="15.88"/>
    <col customWidth="1" min="20" max="20" width="14.38"/>
    <col customWidth="1" min="21" max="21" width="20.5"/>
    <col customWidth="1" min="37" max="37" width="16.88"/>
  </cols>
  <sheetData>
    <row r="1">
      <c r="A1" s="1" t="s">
        <v>88</v>
      </c>
      <c r="B1" s="18" t="s">
        <v>120</v>
      </c>
      <c r="AM1" s="18"/>
      <c r="AN1" s="18"/>
      <c r="AO1" s="18"/>
      <c r="AP1" s="18"/>
      <c r="AQ1" s="18"/>
      <c r="AR1" s="18"/>
    </row>
    <row r="2">
      <c r="A2" s="1" t="s">
        <v>90</v>
      </c>
      <c r="B2" s="1" t="s">
        <v>20</v>
      </c>
      <c r="C2" s="1" t="s">
        <v>91</v>
      </c>
      <c r="D2" s="1" t="s">
        <v>92</v>
      </c>
      <c r="E2" s="1" t="s">
        <v>93</v>
      </c>
      <c r="F2" s="1" t="s">
        <v>19</v>
      </c>
      <c r="G2" s="1" t="s">
        <v>94</v>
      </c>
      <c r="H2" s="1" t="s">
        <v>95</v>
      </c>
      <c r="I2" s="1" t="s">
        <v>96</v>
      </c>
      <c r="J2" s="19" t="s">
        <v>97</v>
      </c>
      <c r="K2" s="1" t="s">
        <v>98</v>
      </c>
      <c r="L2" s="1" t="s">
        <v>99</v>
      </c>
      <c r="M2" s="1" t="s">
        <v>100</v>
      </c>
      <c r="N2" s="1" t="s">
        <v>101</v>
      </c>
      <c r="O2" s="19" t="s">
        <v>102</v>
      </c>
      <c r="P2" s="1" t="s">
        <v>103</v>
      </c>
      <c r="Q2" s="1" t="s">
        <v>104</v>
      </c>
      <c r="R2" s="1" t="s">
        <v>105</v>
      </c>
      <c r="S2" s="1" t="s">
        <v>106</v>
      </c>
      <c r="T2" s="1" t="s">
        <v>107</v>
      </c>
      <c r="U2" s="19" t="s">
        <v>108</v>
      </c>
      <c r="V2" s="1" t="s">
        <v>25</v>
      </c>
      <c r="W2" s="1" t="s">
        <v>109</v>
      </c>
      <c r="X2" s="19" t="s">
        <v>5</v>
      </c>
      <c r="Y2" s="1" t="s">
        <v>29</v>
      </c>
      <c r="Z2" s="1" t="s">
        <v>110</v>
      </c>
      <c r="AA2" s="1" t="s">
        <v>30</v>
      </c>
      <c r="AB2" s="1" t="s">
        <v>111</v>
      </c>
      <c r="AC2" s="19" t="s">
        <v>9</v>
      </c>
      <c r="AD2" s="1" t="s">
        <v>112</v>
      </c>
      <c r="AE2" s="1" t="s">
        <v>113</v>
      </c>
      <c r="AF2" s="1" t="s">
        <v>114</v>
      </c>
      <c r="AG2" s="1" t="s">
        <v>115</v>
      </c>
      <c r="AH2" s="19" t="s">
        <v>116</v>
      </c>
      <c r="AI2" s="20" t="s">
        <v>117</v>
      </c>
      <c r="AJ2" s="20" t="s">
        <v>2</v>
      </c>
      <c r="AK2" s="1" t="s">
        <v>118</v>
      </c>
      <c r="AL2" s="1" t="s">
        <v>119</v>
      </c>
      <c r="AM2" s="1"/>
      <c r="AN2" s="1"/>
      <c r="AO2" s="1"/>
      <c r="AP2" s="1"/>
      <c r="AQ2" s="1"/>
      <c r="AR2" s="1"/>
    </row>
    <row r="3">
      <c r="A3" s="1">
        <v>2019.0</v>
      </c>
      <c r="B3" s="21">
        <f>87.7*1000000000000</f>
        <v>87700000000000</v>
      </c>
      <c r="C3" s="21"/>
      <c r="D3" s="22">
        <f>7.81*10^9</f>
        <v>7810000000</v>
      </c>
      <c r="E3" s="22"/>
      <c r="F3" s="33">
        <f>2.88*1000000000000</f>
        <v>2880000000000</v>
      </c>
      <c r="G3" s="21"/>
      <c r="H3" s="22">
        <f>66631*1000</f>
        <v>66631000</v>
      </c>
      <c r="I3" s="22"/>
      <c r="J3" s="23">
        <f t="shared" ref="J3:J14" si="2">F3/B3</f>
        <v>0.03283922463</v>
      </c>
      <c r="K3" s="21">
        <f>745.7*10^9</f>
        <v>745700000000</v>
      </c>
      <c r="L3" s="21">
        <f>718.8*10^9</f>
        <v>718800000000</v>
      </c>
      <c r="M3" s="21">
        <f t="shared" ref="M3:M9" si="3">L3-K3</f>
        <v>-26900000000</v>
      </c>
      <c r="N3" s="21"/>
      <c r="O3" s="23">
        <f t="shared" ref="O3:O14" si="4">M3/F3</f>
        <v>-0.009340277778</v>
      </c>
      <c r="P3" s="31">
        <v>0.796</v>
      </c>
      <c r="Q3" s="24"/>
      <c r="R3" s="21">
        <f t="shared" ref="R3:R8" si="5">P3*F3</f>
        <v>2292480000000</v>
      </c>
      <c r="S3" s="31">
        <v>0.0075</v>
      </c>
      <c r="T3" s="21">
        <f t="shared" ref="T3:T14" si="6">R3*S3</f>
        <v>17193600000</v>
      </c>
      <c r="U3" s="23">
        <f t="shared" ref="U3:U14" si="7">T3/F3</f>
        <v>0.00597</v>
      </c>
      <c r="V3" s="31">
        <v>0.017</v>
      </c>
      <c r="W3" s="21">
        <f t="shared" ref="W3:W14" si="8">F3/H3</f>
        <v>43223.12437</v>
      </c>
      <c r="X3" s="25">
        <f t="shared" ref="X3:X14" si="9">W3*(1-V3)</f>
        <v>42488.33126</v>
      </c>
      <c r="Y3" s="3">
        <v>0.92</v>
      </c>
      <c r="Z3" s="3"/>
      <c r="AA3" s="3">
        <v>0.36</v>
      </c>
      <c r="AB3" s="3"/>
      <c r="AC3" s="26">
        <f t="shared" ref="AC3:AC14" si="10">Y3-AA3</f>
        <v>0.56</v>
      </c>
      <c r="AD3" s="27">
        <f t="shared" ref="AD3:AG3" si="1">AD4+($AH3-$AH4)/4</f>
        <v>0.153376735</v>
      </c>
      <c r="AE3" s="27">
        <f t="shared" si="1"/>
        <v>0.08437673501</v>
      </c>
      <c r="AF3" s="27">
        <f t="shared" si="1"/>
        <v>0.04337673501</v>
      </c>
      <c r="AG3" s="27">
        <f t="shared" si="1"/>
        <v>0.01437673501</v>
      </c>
      <c r="AH3" s="23">
        <f t="shared" ref="AH3:AH8" si="12">AH4*95%</f>
        <v>0.29550694</v>
      </c>
      <c r="AI3" s="39">
        <f t="shared" ref="AI3:AI14" si="13">AH3+J3+O3-U3</f>
        <v>0.3130358869</v>
      </c>
      <c r="AJ3" s="29">
        <f t="shared" ref="AJ3:AJ14" si="14">X3*AC3</f>
        <v>23793.4655</v>
      </c>
      <c r="AK3" s="30" t="str">
        <f t="shared" ref="AK3:AK14" si="15">IFS(
AJ3&lt;=2500,"D-",
AJ3&lt;=5000,"D",
AJ3&lt;=10000,"D+",
AJ3&lt;=12500,"C-",
AJ3&lt;=15000,"C",
AJ3&lt;=20000,"C+",
AJ3&lt;=25000,"B-",
AJ3&lt;=30000,"B",
AJ3&lt;=35000,"B+",
AJ3&lt;=40000,"A-",
AJ3&lt;=50000,"A",
AJ3&lt;=100000,"A+",
TRUE,"Out of range"
)
</f>
        <v>B-</v>
      </c>
      <c r="AL3" s="30" t="str">
        <f t="shared" ref="AL3:AL14" si="16">CONCAT(ROUND(AI3,2),AK3)</f>
        <v>0.31B-</v>
      </c>
    </row>
    <row r="4">
      <c r="A4" s="1">
        <v>2020.0</v>
      </c>
      <c r="B4" s="21">
        <f>84.75*1000000000000</f>
        <v>84750000000000</v>
      </c>
      <c r="C4" s="24">
        <f t="shared" ref="C4:C13" si="17">(B4-B3)/B3</f>
        <v>-0.03363740023</v>
      </c>
      <c r="D4" s="22">
        <f>7.89*10^9</f>
        <v>7890000000</v>
      </c>
      <c r="E4" s="24">
        <f t="shared" ref="E4:E13" si="18">(D4-D3)/D3</f>
        <v>0.01024327785</v>
      </c>
      <c r="F4" s="21">
        <f>2.72*1000000000000</f>
        <v>2720000000000</v>
      </c>
      <c r="G4" s="24">
        <f t="shared" ref="G4:G13" si="19">(F4-F3)/F3</f>
        <v>-0.05555555556</v>
      </c>
      <c r="H4" s="22">
        <f>66744*1000</f>
        <v>66744000</v>
      </c>
      <c r="I4" s="24">
        <f t="shared" ref="I4:I13" si="20">(H4-H3)/H3</f>
        <v>0.00169590731</v>
      </c>
      <c r="J4" s="23">
        <f t="shared" si="2"/>
        <v>0.03209439528</v>
      </c>
      <c r="K4" s="21">
        <f>620.7*10^9</f>
        <v>620700000000</v>
      </c>
      <c r="L4" s="21">
        <f>636*10^9</f>
        <v>636000000000</v>
      </c>
      <c r="M4" s="21">
        <f t="shared" si="3"/>
        <v>15300000000</v>
      </c>
      <c r="N4" s="24">
        <f t="shared" ref="N4:N14" si="21">(M4-M3)/M3</f>
        <v>-1.568773234</v>
      </c>
      <c r="O4" s="23">
        <f t="shared" si="4"/>
        <v>0.005625</v>
      </c>
      <c r="P4" s="31">
        <v>0.845</v>
      </c>
      <c r="Q4" s="24">
        <f t="shared" ref="Q4:Q13" si="22">(P4-P3)/P3</f>
        <v>0.06155778894</v>
      </c>
      <c r="R4" s="21">
        <f t="shared" si="5"/>
        <v>2298400000000</v>
      </c>
      <c r="S4" s="31">
        <v>0.001</v>
      </c>
      <c r="T4" s="21">
        <f t="shared" si="6"/>
        <v>2298400000</v>
      </c>
      <c r="U4" s="23">
        <f t="shared" si="7"/>
        <v>0.000845</v>
      </c>
      <c r="V4" s="31">
        <v>0.01</v>
      </c>
      <c r="W4" s="21">
        <f t="shared" si="8"/>
        <v>40752.72684</v>
      </c>
      <c r="X4" s="25">
        <f t="shared" si="9"/>
        <v>40345.19957</v>
      </c>
      <c r="Y4" s="3">
        <v>0.93</v>
      </c>
      <c r="Z4" s="31">
        <f t="shared" ref="Z4:Z13" si="23">(Y4-Y3)/Y3</f>
        <v>0.01086956522</v>
      </c>
      <c r="AA4" s="3">
        <v>0.354</v>
      </c>
      <c r="AB4" s="31">
        <f t="shared" ref="AB4:AB13" si="24">(AA4-AA3)/AA4</f>
        <v>-0.01694915254</v>
      </c>
      <c r="AC4" s="26">
        <f t="shared" si="10"/>
        <v>0.576</v>
      </c>
      <c r="AD4" s="27">
        <f t="shared" ref="AD4:AG4" si="11">AD5+($AH4-$AH5)/4</f>
        <v>0.1572649842</v>
      </c>
      <c r="AE4" s="27">
        <f t="shared" si="11"/>
        <v>0.08826498422</v>
      </c>
      <c r="AF4" s="27">
        <f t="shared" si="11"/>
        <v>0.04726498422</v>
      </c>
      <c r="AG4" s="27">
        <f t="shared" si="11"/>
        <v>0.01826498422</v>
      </c>
      <c r="AH4" s="23">
        <f t="shared" si="12"/>
        <v>0.3110599369</v>
      </c>
      <c r="AI4" s="39">
        <f t="shared" si="13"/>
        <v>0.3479343322</v>
      </c>
      <c r="AJ4" s="29">
        <f t="shared" si="14"/>
        <v>23238.83495</v>
      </c>
      <c r="AK4" s="30" t="str">
        <f t="shared" si="15"/>
        <v>B-</v>
      </c>
      <c r="AL4" s="30" t="str">
        <f t="shared" si="16"/>
        <v>0.35B-</v>
      </c>
    </row>
    <row r="5">
      <c r="A5" s="1">
        <v>2021.0</v>
      </c>
      <c r="B5" s="21">
        <f>96.14*1000000000000</f>
        <v>96140000000000</v>
      </c>
      <c r="C5" s="24">
        <f t="shared" si="17"/>
        <v>0.1343952802</v>
      </c>
      <c r="D5" s="22">
        <f>7.95*10^9</f>
        <v>7950000000</v>
      </c>
      <c r="E5" s="24">
        <f t="shared" si="18"/>
        <v>0.007604562738</v>
      </c>
      <c r="F5" s="21">
        <f>3.19*1000000000000</f>
        <v>3190000000000</v>
      </c>
      <c r="G5" s="24">
        <f t="shared" si="19"/>
        <v>0.1727941176</v>
      </c>
      <c r="H5" s="22">
        <f>66984*1000</f>
        <v>66984000</v>
      </c>
      <c r="I5" s="24">
        <f t="shared" si="20"/>
        <v>0.003595828839</v>
      </c>
      <c r="J5" s="23">
        <f t="shared" si="2"/>
        <v>0.03318077803</v>
      </c>
      <c r="K5" s="21">
        <f>679.4*10^9</f>
        <v>679400000000</v>
      </c>
      <c r="L5" s="21">
        <f>680.3*10^9</f>
        <v>680300000000</v>
      </c>
      <c r="M5" s="21">
        <f t="shared" si="3"/>
        <v>900000000</v>
      </c>
      <c r="N5" s="24">
        <f t="shared" si="21"/>
        <v>-0.9411764706</v>
      </c>
      <c r="O5" s="23">
        <f t="shared" si="4"/>
        <v>0.0002821316614</v>
      </c>
      <c r="P5" s="31">
        <v>0.954</v>
      </c>
      <c r="Q5" s="24">
        <f t="shared" si="22"/>
        <v>0.1289940828</v>
      </c>
      <c r="R5" s="21">
        <f t="shared" si="5"/>
        <v>3043260000000</v>
      </c>
      <c r="S5" s="31">
        <v>0.0025</v>
      </c>
      <c r="T5" s="21">
        <f t="shared" si="6"/>
        <v>7608150000</v>
      </c>
      <c r="U5" s="23">
        <f t="shared" si="7"/>
        <v>0.002385</v>
      </c>
      <c r="V5" s="31">
        <v>0.025</v>
      </c>
      <c r="W5" s="21">
        <f t="shared" si="8"/>
        <v>47623.31303</v>
      </c>
      <c r="X5" s="25">
        <f t="shared" si="9"/>
        <v>46432.7302</v>
      </c>
      <c r="Y5" s="3">
        <v>0.92</v>
      </c>
      <c r="Z5" s="31">
        <f t="shared" si="23"/>
        <v>-0.01075268817</v>
      </c>
      <c r="AA5" s="3">
        <v>0.344</v>
      </c>
      <c r="AB5" s="31">
        <f t="shared" si="24"/>
        <v>-0.02906976744</v>
      </c>
      <c r="AC5" s="26">
        <f t="shared" si="10"/>
        <v>0.576</v>
      </c>
      <c r="AD5" s="27">
        <f t="shared" ref="AD5:AG5" si="25">AD6+($AH5-$AH6)/4</f>
        <v>0.1613578781</v>
      </c>
      <c r="AE5" s="27">
        <f t="shared" si="25"/>
        <v>0.09235787813</v>
      </c>
      <c r="AF5" s="27">
        <f t="shared" si="25"/>
        <v>0.05135787813</v>
      </c>
      <c r="AG5" s="27">
        <f t="shared" si="25"/>
        <v>0.02235787813</v>
      </c>
      <c r="AH5" s="23">
        <f t="shared" si="12"/>
        <v>0.3274315125</v>
      </c>
      <c r="AI5" s="39">
        <f t="shared" si="13"/>
        <v>0.3585094222</v>
      </c>
      <c r="AJ5" s="29">
        <f t="shared" si="14"/>
        <v>26745.2526</v>
      </c>
      <c r="AK5" s="30" t="str">
        <f t="shared" si="15"/>
        <v>B</v>
      </c>
      <c r="AL5" s="30" t="str">
        <f t="shared" si="16"/>
        <v>0.36B</v>
      </c>
    </row>
    <row r="6">
      <c r="A6" s="1">
        <v>2022.0</v>
      </c>
      <c r="B6" s="21">
        <f>101.56*1000000000000</f>
        <v>101560000000000</v>
      </c>
      <c r="C6" s="24">
        <f t="shared" si="17"/>
        <v>0.05637611816</v>
      </c>
      <c r="D6" s="22">
        <f>8.02*10^9</f>
        <v>8020000000</v>
      </c>
      <c r="E6" s="24">
        <f t="shared" si="18"/>
        <v>0.008805031447</v>
      </c>
      <c r="F6" s="21">
        <f>3.18*1000000000000</f>
        <v>3180000000000</v>
      </c>
      <c r="G6" s="24">
        <f t="shared" si="19"/>
        <v>-0.003134796238</v>
      </c>
      <c r="H6" s="22">
        <f>67604*1000</f>
        <v>67604000</v>
      </c>
      <c r="I6" s="24">
        <f t="shared" si="20"/>
        <v>0.009255941717</v>
      </c>
      <c r="J6" s="23">
        <f t="shared" si="2"/>
        <v>0.03131153998</v>
      </c>
      <c r="K6" s="21">
        <f>906.9*10^9</f>
        <v>906900000000</v>
      </c>
      <c r="L6" s="21">
        <f>879.1*10^9</f>
        <v>879100000000</v>
      </c>
      <c r="M6" s="21">
        <f t="shared" si="3"/>
        <v>-27800000000</v>
      </c>
      <c r="N6" s="24">
        <f t="shared" si="21"/>
        <v>-31.88888889</v>
      </c>
      <c r="O6" s="23">
        <f t="shared" si="4"/>
        <v>-0.008742138365</v>
      </c>
      <c r="P6" s="31">
        <v>0.943</v>
      </c>
      <c r="Q6" s="24">
        <f t="shared" si="22"/>
        <v>-0.01153039832</v>
      </c>
      <c r="R6" s="21">
        <f t="shared" si="5"/>
        <v>2998740000000</v>
      </c>
      <c r="S6" s="31">
        <v>0.01</v>
      </c>
      <c r="T6" s="21">
        <f t="shared" si="6"/>
        <v>29987400000</v>
      </c>
      <c r="U6" s="23">
        <f t="shared" si="7"/>
        <v>0.00943</v>
      </c>
      <c r="V6" s="31">
        <v>0.079</v>
      </c>
      <c r="W6" s="21">
        <f t="shared" si="8"/>
        <v>47038.63677</v>
      </c>
      <c r="X6" s="25">
        <f t="shared" si="9"/>
        <v>43322.58446</v>
      </c>
      <c r="Y6" s="3">
        <v>0.94</v>
      </c>
      <c r="Z6" s="31">
        <f t="shared" si="23"/>
        <v>0.02173913043</v>
      </c>
      <c r="AA6" s="3">
        <v>0.355</v>
      </c>
      <c r="AB6" s="31">
        <f t="shared" si="24"/>
        <v>0.03098591549</v>
      </c>
      <c r="AC6" s="26">
        <f t="shared" si="10"/>
        <v>0.585</v>
      </c>
      <c r="AD6" s="27">
        <f t="shared" ref="AD6:AG6" si="26">AD7+($AH6-$AH7)/4</f>
        <v>0.1656661875</v>
      </c>
      <c r="AE6" s="27">
        <f t="shared" si="26"/>
        <v>0.0966661875</v>
      </c>
      <c r="AF6" s="27">
        <f t="shared" si="26"/>
        <v>0.0556661875</v>
      </c>
      <c r="AG6" s="27">
        <f t="shared" si="26"/>
        <v>0.0266661875</v>
      </c>
      <c r="AH6" s="23">
        <f t="shared" si="12"/>
        <v>0.34466475</v>
      </c>
      <c r="AI6" s="39">
        <f t="shared" si="13"/>
        <v>0.3578041516</v>
      </c>
      <c r="AJ6" s="29">
        <f t="shared" si="14"/>
        <v>25343.71191</v>
      </c>
      <c r="AK6" s="30" t="str">
        <f t="shared" si="15"/>
        <v>B</v>
      </c>
      <c r="AL6" s="30" t="str">
        <f t="shared" si="16"/>
        <v>0.36B</v>
      </c>
    </row>
    <row r="7">
      <c r="A7" s="1">
        <v>2023.0</v>
      </c>
      <c r="B7" s="21">
        <f>106.8*1000000000000</f>
        <v>106800000000000</v>
      </c>
      <c r="C7" s="24">
        <f t="shared" si="17"/>
        <v>0.05159511619</v>
      </c>
      <c r="D7" s="32">
        <f>8.09*10^9</f>
        <v>8090000000</v>
      </c>
      <c r="E7" s="24">
        <f t="shared" si="18"/>
        <v>0.008728179551</v>
      </c>
      <c r="F7" s="21">
        <f>3.42*1000000000000</f>
        <v>3420000000000</v>
      </c>
      <c r="G7" s="24">
        <f t="shared" si="19"/>
        <v>0.07547169811</v>
      </c>
      <c r="H7" s="22">
        <f>68492*1000</f>
        <v>68492000</v>
      </c>
      <c r="I7" s="24">
        <f t="shared" si="20"/>
        <v>0.01313531744</v>
      </c>
      <c r="J7" s="23">
        <f t="shared" si="2"/>
        <v>0.03202247191</v>
      </c>
      <c r="K7" s="21">
        <f>910.4*10^9</f>
        <v>910400000000</v>
      </c>
      <c r="L7" s="21">
        <f>878.3*10^9</f>
        <v>878300000000</v>
      </c>
      <c r="M7" s="21">
        <f t="shared" si="3"/>
        <v>-32100000000</v>
      </c>
      <c r="N7" s="24">
        <f t="shared" si="21"/>
        <v>0.154676259</v>
      </c>
      <c r="O7" s="23">
        <f t="shared" si="4"/>
        <v>-0.009385964912</v>
      </c>
      <c r="P7" s="31">
        <v>0.932</v>
      </c>
      <c r="Q7" s="24">
        <f t="shared" si="22"/>
        <v>-0.01166489926</v>
      </c>
      <c r="R7" s="21">
        <f t="shared" si="5"/>
        <v>3187440000000</v>
      </c>
      <c r="S7" s="31">
        <v>0.045</v>
      </c>
      <c r="T7" s="21">
        <f t="shared" si="6"/>
        <v>143434800000</v>
      </c>
      <c r="U7" s="23">
        <f t="shared" si="7"/>
        <v>0.04194</v>
      </c>
      <c r="V7" s="31">
        <v>0.068</v>
      </c>
      <c r="W7" s="21">
        <f t="shared" si="8"/>
        <v>49932.83887</v>
      </c>
      <c r="X7" s="25">
        <f t="shared" si="9"/>
        <v>46537.40583</v>
      </c>
      <c r="Y7" s="3">
        <v>0.95</v>
      </c>
      <c r="Z7" s="31">
        <f t="shared" si="23"/>
        <v>0.01063829787</v>
      </c>
      <c r="AA7" s="3">
        <v>0.331</v>
      </c>
      <c r="AB7" s="31">
        <f t="shared" si="24"/>
        <v>-0.07250755287</v>
      </c>
      <c r="AC7" s="26">
        <f t="shared" si="10"/>
        <v>0.619</v>
      </c>
      <c r="AD7" s="27">
        <f t="shared" ref="AD7:AG7" si="27">AD8+($AH7-$AH8)/4</f>
        <v>0.17020125</v>
      </c>
      <c r="AE7" s="27">
        <f t="shared" si="27"/>
        <v>0.10120125</v>
      </c>
      <c r="AF7" s="27">
        <f t="shared" si="27"/>
        <v>0.06020125</v>
      </c>
      <c r="AG7" s="27">
        <f t="shared" si="27"/>
        <v>0.03120125</v>
      </c>
      <c r="AH7" s="23">
        <f t="shared" si="12"/>
        <v>0.362805</v>
      </c>
      <c r="AI7" s="39">
        <f t="shared" si="13"/>
        <v>0.343501507</v>
      </c>
      <c r="AJ7" s="29">
        <f t="shared" si="14"/>
        <v>28806.65421</v>
      </c>
      <c r="AK7" s="30" t="str">
        <f t="shared" si="15"/>
        <v>B</v>
      </c>
      <c r="AL7" s="30" t="str">
        <f t="shared" si="16"/>
        <v>0.34B</v>
      </c>
    </row>
    <row r="8">
      <c r="A8" s="1">
        <v>2024.0</v>
      </c>
      <c r="B8" s="21">
        <f>112.6*1000000000000</f>
        <v>112600000000000</v>
      </c>
      <c r="C8" s="24">
        <f t="shared" si="17"/>
        <v>0.0543071161</v>
      </c>
      <c r="D8" s="32">
        <v>8.161972572E9</v>
      </c>
      <c r="E8" s="24">
        <f t="shared" si="18"/>
        <v>0.008896486032</v>
      </c>
      <c r="F8" s="33">
        <v>3.68603304E12</v>
      </c>
      <c r="G8" s="24">
        <f t="shared" si="19"/>
        <v>0.0777874386</v>
      </c>
      <c r="H8" s="22">
        <f>69226*1000</f>
        <v>69226000</v>
      </c>
      <c r="I8" s="24">
        <f t="shared" si="20"/>
        <v>0.01071658004</v>
      </c>
      <c r="J8" s="23">
        <f t="shared" si="2"/>
        <v>0.03273563979</v>
      </c>
      <c r="K8" s="21">
        <f>918.7*10^9</f>
        <v>918700000000</v>
      </c>
      <c r="L8" s="21">
        <f>893.2*10^9</f>
        <v>893200000000</v>
      </c>
      <c r="M8" s="21">
        <f t="shared" si="3"/>
        <v>-25500000000</v>
      </c>
      <c r="N8" s="24">
        <f t="shared" si="21"/>
        <v>-0.2056074766</v>
      </c>
      <c r="O8" s="23">
        <f t="shared" si="4"/>
        <v>-0.006918006356</v>
      </c>
      <c r="P8" s="31">
        <v>0.944</v>
      </c>
      <c r="Q8" s="24">
        <f t="shared" si="22"/>
        <v>0.01287553648</v>
      </c>
      <c r="R8" s="21">
        <f t="shared" si="5"/>
        <v>3479615189760</v>
      </c>
      <c r="S8" s="31">
        <v>0.05</v>
      </c>
      <c r="T8" s="21">
        <f t="shared" si="6"/>
        <v>173980759488</v>
      </c>
      <c r="U8" s="23">
        <f t="shared" si="7"/>
        <v>0.0472</v>
      </c>
      <c r="V8" s="31">
        <v>0.033</v>
      </c>
      <c r="W8" s="21">
        <f t="shared" si="8"/>
        <v>53246.36755</v>
      </c>
      <c r="X8" s="25">
        <f t="shared" si="9"/>
        <v>51489.23742</v>
      </c>
      <c r="Y8" s="30">
        <f>AVERAGE(Y7,Y9)</f>
        <v>0.948</v>
      </c>
      <c r="Z8" s="31">
        <f t="shared" si="23"/>
        <v>-0.002105263158</v>
      </c>
      <c r="AA8" s="3">
        <v>0.329</v>
      </c>
      <c r="AB8" s="31">
        <f t="shared" si="24"/>
        <v>-0.006079027356</v>
      </c>
      <c r="AC8" s="26">
        <f t="shared" si="10"/>
        <v>0.619</v>
      </c>
      <c r="AD8" s="27">
        <f t="shared" ref="AD8:AG8" si="28">AD9+($AH8-$AH9)/4</f>
        <v>0.174975</v>
      </c>
      <c r="AE8" s="27">
        <f t="shared" si="28"/>
        <v>0.105975</v>
      </c>
      <c r="AF8" s="27">
        <f t="shared" si="28"/>
        <v>0.064975</v>
      </c>
      <c r="AG8" s="27">
        <f t="shared" si="28"/>
        <v>0.035975</v>
      </c>
      <c r="AH8" s="23">
        <f t="shared" si="12"/>
        <v>0.3819</v>
      </c>
      <c r="AI8" s="39">
        <f t="shared" si="13"/>
        <v>0.3605176334</v>
      </c>
      <c r="AJ8" s="29">
        <f t="shared" si="14"/>
        <v>31871.83796</v>
      </c>
      <c r="AK8" s="30" t="str">
        <f t="shared" si="15"/>
        <v>B+</v>
      </c>
      <c r="AL8" s="30" t="str">
        <f t="shared" si="16"/>
        <v>0.36B+</v>
      </c>
    </row>
    <row r="9">
      <c r="A9" s="1">
        <v>2025.0</v>
      </c>
      <c r="B9" s="33">
        <v>1.13795678E14</v>
      </c>
      <c r="C9" s="24">
        <f t="shared" si="17"/>
        <v>0.01061880995</v>
      </c>
      <c r="D9" s="32">
        <v>8.23161307E9</v>
      </c>
      <c r="E9" s="24">
        <f t="shared" si="18"/>
        <v>0.008532312181</v>
      </c>
      <c r="F9" s="33">
        <v>3.839E12</v>
      </c>
      <c r="G9" s="24">
        <f t="shared" si="19"/>
        <v>0.04149907457</v>
      </c>
      <c r="H9" s="32">
        <v>6.83E7</v>
      </c>
      <c r="I9" s="24">
        <f t="shared" si="20"/>
        <v>-0.01337647705</v>
      </c>
      <c r="J9" s="23">
        <f t="shared" si="2"/>
        <v>0.0337359034</v>
      </c>
      <c r="K9" s="33">
        <f>959.4*10^9</f>
        <v>959400000000</v>
      </c>
      <c r="L9" s="33">
        <f>928.9*10^9</f>
        <v>928900000000</v>
      </c>
      <c r="M9" s="33">
        <f t="shared" si="3"/>
        <v>-30500000000</v>
      </c>
      <c r="N9" s="24">
        <f t="shared" si="21"/>
        <v>0.1960784314</v>
      </c>
      <c r="O9" s="23">
        <f t="shared" si="4"/>
        <v>-0.007944777286</v>
      </c>
      <c r="P9" s="24">
        <f>R9/F9</f>
        <v>0.96</v>
      </c>
      <c r="Q9" s="24">
        <f t="shared" si="22"/>
        <v>0.01694915254</v>
      </c>
      <c r="R9" s="33">
        <v>3.68544E12</v>
      </c>
      <c r="S9" s="31">
        <v>0.0425</v>
      </c>
      <c r="T9" s="21">
        <f t="shared" si="6"/>
        <v>156631200000</v>
      </c>
      <c r="U9" s="23">
        <f t="shared" si="7"/>
        <v>0.0408</v>
      </c>
      <c r="V9" s="31">
        <v>0.034</v>
      </c>
      <c r="W9" s="21">
        <f t="shared" si="8"/>
        <v>56207.9063</v>
      </c>
      <c r="X9" s="25">
        <f t="shared" si="9"/>
        <v>54296.83748</v>
      </c>
      <c r="Y9" s="3">
        <v>0.946</v>
      </c>
      <c r="Z9" s="31">
        <f t="shared" si="23"/>
        <v>-0.002109704641</v>
      </c>
      <c r="AA9" s="3">
        <v>0.354</v>
      </c>
      <c r="AB9" s="31">
        <f t="shared" si="24"/>
        <v>0.07062146893</v>
      </c>
      <c r="AC9" s="26">
        <f t="shared" si="10"/>
        <v>0.592</v>
      </c>
      <c r="AD9" s="40">
        <v>0.18</v>
      </c>
      <c r="AE9" s="31">
        <v>0.111</v>
      </c>
      <c r="AF9" s="31">
        <v>0.07</v>
      </c>
      <c r="AG9" s="31">
        <v>0.041</v>
      </c>
      <c r="AH9" s="23">
        <f>SUM(AD9:AG9)</f>
        <v>0.402</v>
      </c>
      <c r="AI9" s="39">
        <f t="shared" si="13"/>
        <v>0.3869911261</v>
      </c>
      <c r="AJ9" s="29">
        <f t="shared" si="14"/>
        <v>32143.72779</v>
      </c>
      <c r="AK9" s="30" t="str">
        <f t="shared" si="15"/>
        <v>B+</v>
      </c>
      <c r="AL9" s="30" t="str">
        <f t="shared" si="16"/>
        <v>0.39B+</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4015031459899</v>
      </c>
      <c r="G10" s="24">
        <f t="shared" si="19"/>
        <v>0.04585346702</v>
      </c>
      <c r="H10" s="22">
        <f>AVERAGE(FORECAST(A10,H3:H9,$A$3:$A$9),H9*(AVERAGE(I4:I9)+1))</f>
        <v>68968137.42</v>
      </c>
      <c r="I10" s="24">
        <f t="shared" si="20"/>
        <v>0.009782392682</v>
      </c>
      <c r="J10" s="35">
        <f t="shared" si="2"/>
        <v>0.03344081323</v>
      </c>
      <c r="K10" s="36">
        <f>FORECAST(A10,K3:K9,A3:A9)</f>
        <v>1029900000000</v>
      </c>
      <c r="L10" s="36">
        <f t="shared" ref="L10:L14" si="30">K10+M10</f>
        <v>993900000000</v>
      </c>
      <c r="M10" s="21">
        <f>FORECAST(A10,M3:M9,$A$3:$A$9)</f>
        <v>-36000000000</v>
      </c>
      <c r="N10" s="24">
        <f t="shared" si="21"/>
        <v>0.1803278689</v>
      </c>
      <c r="O10" s="24">
        <f t="shared" si="4"/>
        <v>-0.008966305833</v>
      </c>
      <c r="P10" s="24">
        <f>AVERAGE(FORECAST(A10,P3:P9,$A$3:$A$9),P9*(AVERAGE(Q4:Q9)+1))</f>
        <v>0.9987745011</v>
      </c>
      <c r="Q10" s="24">
        <f t="shared" si="22"/>
        <v>0.04039010527</v>
      </c>
      <c r="R10" s="21">
        <f t="shared" ref="R10:R14" si="31">P10*F10</f>
        <v>4010111043094</v>
      </c>
      <c r="S10" s="24">
        <f>FORECAST(A10,S3:S9,$A$3:$A$9)</f>
        <v>0.05771428571</v>
      </c>
      <c r="T10" s="21">
        <f t="shared" si="6"/>
        <v>231440694487</v>
      </c>
      <c r="U10" s="24">
        <f t="shared" si="7"/>
        <v>0.05764355692</v>
      </c>
      <c r="V10" s="24">
        <f>FORECAST(A10,V3:V9,$A$3:$A$9)</f>
        <v>0.058</v>
      </c>
      <c r="W10" s="21">
        <f t="shared" si="8"/>
        <v>58215.7444</v>
      </c>
      <c r="X10" s="21">
        <f t="shared" si="9"/>
        <v>54839.23123</v>
      </c>
      <c r="Y10" s="37">
        <f>AVERAGE(FORECAST(A10,Y3:Y9,$A$3:$A$9),Y9*(AVERAGE(Z4:Z9)+1))</f>
        <v>0.9536579259</v>
      </c>
      <c r="Z10" s="31">
        <f t="shared" si="23"/>
        <v>0.008095059062</v>
      </c>
      <c r="AA10" s="38">
        <f>AVERAGE(FORECAST(A10,AA3:AA9,$A$3:$A$9),AA9*(AVERAGE(AB4:AB9)+1))</f>
        <v>0.3438929842</v>
      </c>
      <c r="AB10" s="31">
        <f t="shared" si="24"/>
        <v>-0.02939000302</v>
      </c>
      <c r="AC10" s="37">
        <f t="shared" si="10"/>
        <v>0.6097649417</v>
      </c>
      <c r="AD10" s="27">
        <f t="shared" ref="AD10:AG10" si="29">AD9+($AH10-$AH9)/4</f>
        <v>0.185025</v>
      </c>
      <c r="AE10" s="27">
        <f t="shared" si="29"/>
        <v>0.116025</v>
      </c>
      <c r="AF10" s="27">
        <f t="shared" si="29"/>
        <v>0.075025</v>
      </c>
      <c r="AG10" s="27">
        <f t="shared" si="29"/>
        <v>0.046025</v>
      </c>
      <c r="AH10" s="24">
        <f t="shared" ref="AH10:AH14" si="33">AH9*1.05</f>
        <v>0.4221</v>
      </c>
      <c r="AI10" s="38">
        <f t="shared" si="13"/>
        <v>0.3889309505</v>
      </c>
      <c r="AJ10" s="21">
        <f t="shared" si="14"/>
        <v>33439.04063</v>
      </c>
      <c r="AK10" s="30" t="str">
        <f t="shared" si="15"/>
        <v>B+</v>
      </c>
      <c r="AL10" s="30" t="str">
        <f t="shared" si="16"/>
        <v>0.39B+</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4201345719753</v>
      </c>
      <c r="G11" s="24">
        <f t="shared" si="19"/>
        <v>0.0464041843</v>
      </c>
      <c r="H11" s="22">
        <f>AVERAGE(FORECAST($A11,H3:H10,$A3:$A10),H10*(AVERAGE(I4:I10)+1))</f>
        <v>69440404.49</v>
      </c>
      <c r="I11" s="24">
        <f t="shared" si="20"/>
        <v>0.006847612288</v>
      </c>
      <c r="J11" s="35">
        <f t="shared" si="2"/>
        <v>0.03341414573</v>
      </c>
      <c r="K11" s="36">
        <f>FORECAST(A11,K3:K10,A3:A10)</f>
        <v>1082332142857</v>
      </c>
      <c r="L11" s="21">
        <f t="shared" si="30"/>
        <v>1041853571429</v>
      </c>
      <c r="M11" s="21">
        <f>FORECAST(A11,M3:M10,$A3:$A10)</f>
        <v>-40478571429</v>
      </c>
      <c r="N11" s="24">
        <f t="shared" si="21"/>
        <v>0.1244047619</v>
      </c>
      <c r="O11" s="24">
        <f t="shared" si="4"/>
        <v>-0.009634668063</v>
      </c>
      <c r="P11" s="24">
        <f>AVERAGE(FORECAST($A11,P3:P10,$A3:$A10),P10*(AVERAGE(Q4:Q10)+1))</f>
        <v>1.029458035</v>
      </c>
      <c r="Q11" s="24">
        <f t="shared" si="22"/>
        <v>0.03072118244</v>
      </c>
      <c r="R11" s="21">
        <f t="shared" si="31"/>
        <v>4325109107856</v>
      </c>
      <c r="S11" s="24">
        <f>FORECAST($A11,S3:S10,$A3:$A10)</f>
        <v>0.06648214286</v>
      </c>
      <c r="T11" s="21">
        <f t="shared" si="6"/>
        <v>287542521581</v>
      </c>
      <c r="U11" s="24">
        <f t="shared" si="7"/>
        <v>0.06844057613</v>
      </c>
      <c r="V11" s="24">
        <f>FORECAST($A11,V3:V10,$A3:$A10)</f>
        <v>0.063</v>
      </c>
      <c r="W11" s="21">
        <f t="shared" si="8"/>
        <v>60502.89815</v>
      </c>
      <c r="X11" s="21">
        <f t="shared" si="9"/>
        <v>56691.21556</v>
      </c>
      <c r="Y11" s="37">
        <f>AVERAGE(FORECAST($A11,Y3:Y10,$A3:$A10),Y10*(AVERAGE(Z4:Z10)+1))</f>
        <v>0.9595069252</v>
      </c>
      <c r="Z11" s="31">
        <f t="shared" si="23"/>
        <v>0.006133225766</v>
      </c>
      <c r="AA11" s="38">
        <f>AVERAGE(FORECAST($A11,AA3:AA10,$A3:$A10),AA10*(AVERAGE(AB4:AB10)+1))</f>
        <v>0.3389721734</v>
      </c>
      <c r="AB11" s="31">
        <f t="shared" si="24"/>
        <v>-0.01451685766</v>
      </c>
      <c r="AC11" s="37">
        <f t="shared" si="10"/>
        <v>0.6205347519</v>
      </c>
      <c r="AD11" s="27">
        <f t="shared" ref="AD11:AG11" si="32">AD10+($AH11-$AH10)/4</f>
        <v>0.19030125</v>
      </c>
      <c r="AE11" s="27">
        <f t="shared" si="32"/>
        <v>0.12130125</v>
      </c>
      <c r="AF11" s="27">
        <f t="shared" si="32"/>
        <v>0.08030125</v>
      </c>
      <c r="AG11" s="27">
        <f t="shared" si="32"/>
        <v>0.05130125</v>
      </c>
      <c r="AH11" s="24">
        <f t="shared" si="33"/>
        <v>0.443205</v>
      </c>
      <c r="AI11" s="38">
        <f t="shared" si="13"/>
        <v>0.3985439015</v>
      </c>
      <c r="AJ11" s="21">
        <f t="shared" si="14"/>
        <v>35178.86938</v>
      </c>
      <c r="AK11" s="30" t="str">
        <f t="shared" si="15"/>
        <v>A-</v>
      </c>
      <c r="AL11" s="30" t="str">
        <f t="shared" si="16"/>
        <v>0.4A-</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4392794551938</v>
      </c>
      <c r="G12" s="24">
        <f t="shared" si="19"/>
        <v>0.04556845472</v>
      </c>
      <c r="H12" s="22">
        <f>AVERAGE(FORECAST($A12,H3:H11,$A3:$A11),H11*(AVERAGE(I4:I11)+1))</f>
        <v>69846120.24</v>
      </c>
      <c r="I12" s="24">
        <f t="shared" si="20"/>
        <v>0.005842646754</v>
      </c>
      <c r="J12" s="35">
        <f t="shared" si="2"/>
        <v>0.03347211342</v>
      </c>
      <c r="K12" s="36">
        <f>FORECAST(A12,K3:K11,A3:A11)</f>
        <v>1134764285714</v>
      </c>
      <c r="L12" s="21">
        <f t="shared" si="30"/>
        <v>1089807142857</v>
      </c>
      <c r="M12" s="21">
        <f>FORECAST(A12,M3:M11,$A3:$A11)</f>
        <v>-44957142857</v>
      </c>
      <c r="N12" s="24">
        <f t="shared" si="21"/>
        <v>0.1106405506</v>
      </c>
      <c r="O12" s="24">
        <f t="shared" si="4"/>
        <v>-0.01023429216</v>
      </c>
      <c r="P12" s="24">
        <f>AVERAGE(FORECAST($A12,P3:P11,$A3:$A11),P11*(AVERAGE(Q4:Q11)+1))</f>
        <v>1.057455111</v>
      </c>
      <c r="Q12" s="24">
        <f t="shared" si="22"/>
        <v>0.0271959371</v>
      </c>
      <c r="R12" s="21">
        <f t="shared" si="31"/>
        <v>4645183049143</v>
      </c>
      <c r="S12" s="24">
        <f>FORECAST($A12,S3:S11,$A3:$A11)</f>
        <v>0.07525</v>
      </c>
      <c r="T12" s="21">
        <f t="shared" si="6"/>
        <v>349550024448</v>
      </c>
      <c r="U12" s="24">
        <f t="shared" si="7"/>
        <v>0.07957349708</v>
      </c>
      <c r="V12" s="24">
        <f>FORECAST($A12,V3:V11,$A3:$A11)</f>
        <v>0.068</v>
      </c>
      <c r="W12" s="21">
        <f t="shared" si="8"/>
        <v>62892.46327</v>
      </c>
      <c r="X12" s="21">
        <f t="shared" si="9"/>
        <v>58615.77577</v>
      </c>
      <c r="Y12" s="37">
        <f>AVERAGE(FORECAST($A12,Y3:Y11,$A3:$A11),Y11*(AVERAGE(Z4:Z11)+1))</f>
        <v>0.9647423856</v>
      </c>
      <c r="Z12" s="31">
        <f t="shared" si="23"/>
        <v>0.005456407015</v>
      </c>
      <c r="AA12" s="37">
        <f>AVERAGE(FORECAST($A12,AA3:AA11,$A3:$A11),AA11*(AVERAGE(AB4:AB11)+1))</f>
        <v>0.3358209256</v>
      </c>
      <c r="AB12" s="31">
        <f t="shared" si="24"/>
        <v>-0.009383714642</v>
      </c>
      <c r="AC12" s="37">
        <f t="shared" si="10"/>
        <v>0.6289214599</v>
      </c>
      <c r="AD12" s="27">
        <f t="shared" ref="AD12:AG12" si="34">AD11+($AH12-$AH11)/4</f>
        <v>0.1958413125</v>
      </c>
      <c r="AE12" s="27">
        <f t="shared" si="34"/>
        <v>0.1268413125</v>
      </c>
      <c r="AF12" s="27">
        <f t="shared" si="34"/>
        <v>0.0858413125</v>
      </c>
      <c r="AG12" s="27">
        <f t="shared" si="34"/>
        <v>0.0568413125</v>
      </c>
      <c r="AH12" s="24">
        <f t="shared" si="33"/>
        <v>0.46536525</v>
      </c>
      <c r="AI12" s="38">
        <f t="shared" si="13"/>
        <v>0.4090295742</v>
      </c>
      <c r="AJ12" s="21">
        <f t="shared" si="14"/>
        <v>36864.71927</v>
      </c>
      <c r="AK12" s="30" t="str">
        <f t="shared" si="15"/>
        <v>A-</v>
      </c>
      <c r="AL12" s="30" t="str">
        <f t="shared" si="16"/>
        <v>0.41A-</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4587498480202</v>
      </c>
      <c r="G13" s="24">
        <f t="shared" si="19"/>
        <v>0.04432347699</v>
      </c>
      <c r="H13" s="22">
        <f>AVERAGE(FORECAST($A13,H3:H12,$A3:$A12),H12*(AVERAGE(I4:I12)+1))</f>
        <v>70228369.56</v>
      </c>
      <c r="I13" s="24">
        <f t="shared" si="20"/>
        <v>0.005472735251</v>
      </c>
      <c r="J13" s="35">
        <f t="shared" si="2"/>
        <v>0.03355581357</v>
      </c>
      <c r="K13" s="36">
        <f>FORECAST(A13,K3:K12,A3:A12)</f>
        <v>1187196428571</v>
      </c>
      <c r="L13" s="21">
        <f t="shared" si="30"/>
        <v>1137760714286</v>
      </c>
      <c r="M13" s="21">
        <f>FORECAST(A13,M3:M12,$A3:$A12)</f>
        <v>-49435714286</v>
      </c>
      <c r="N13" s="24">
        <f t="shared" si="21"/>
        <v>0.09961868446</v>
      </c>
      <c r="O13" s="24">
        <f t="shared" si="4"/>
        <v>-0.01077618107</v>
      </c>
      <c r="P13" s="24">
        <f>AVERAGE(FORECAST($A13,P3:P12,$A3:$A12),P12*(AVERAGE(Q4:Q12)+1))</f>
        <v>1.084590729</v>
      </c>
      <c r="Q13" s="24">
        <f t="shared" si="22"/>
        <v>0.02566124798</v>
      </c>
      <c r="R13" s="21">
        <f t="shared" si="31"/>
        <v>4975558318685</v>
      </c>
      <c r="S13" s="24">
        <f>FORECAST($A13,S3:S12,$A3:$A12)</f>
        <v>0.08401785714</v>
      </c>
      <c r="T13" s="21">
        <f t="shared" si="6"/>
        <v>418035748025</v>
      </c>
      <c r="U13" s="24">
        <f t="shared" si="7"/>
        <v>0.09112498889</v>
      </c>
      <c r="V13" s="24">
        <f>FORECAST($A13,V3:V12,$A3:$A12)</f>
        <v>0.073</v>
      </c>
      <c r="W13" s="21">
        <f t="shared" si="8"/>
        <v>65322.58272</v>
      </c>
      <c r="X13" s="21">
        <f t="shared" si="9"/>
        <v>60554.03418</v>
      </c>
      <c r="Y13" s="37">
        <f>AVERAGE(FORECAST($A13,Y3:Y12,$A3:$A12),Y12*(AVERAGE(Z4:Z12)+1))</f>
        <v>0.9697625993</v>
      </c>
      <c r="Z13" s="31">
        <f t="shared" si="23"/>
        <v>0.005203683232</v>
      </c>
      <c r="AA13" s="37">
        <f>AVERAGE(FORECAST($A13,AA3:AA12,$A3:$A12),AA12*(AVERAGE(AB4:AB12)+1))</f>
        <v>0.3332991115</v>
      </c>
      <c r="AB13" s="31">
        <f t="shared" si="24"/>
        <v>-0.007566219322</v>
      </c>
      <c r="AC13" s="37">
        <f t="shared" si="10"/>
        <v>0.6364634879</v>
      </c>
      <c r="AD13" s="27">
        <f t="shared" ref="AD13:AG13" si="35">AD12+($AH13-$AH12)/4</f>
        <v>0.2016583781</v>
      </c>
      <c r="AE13" s="27">
        <f t="shared" si="35"/>
        <v>0.1326583781</v>
      </c>
      <c r="AF13" s="27">
        <f t="shared" si="35"/>
        <v>0.09165837813</v>
      </c>
      <c r="AG13" s="27">
        <f t="shared" si="35"/>
        <v>0.06265837813</v>
      </c>
      <c r="AH13" s="24">
        <f t="shared" si="33"/>
        <v>0.4886335125</v>
      </c>
      <c r="AI13" s="38">
        <f t="shared" si="13"/>
        <v>0.4202881561</v>
      </c>
      <c r="AJ13" s="21">
        <f t="shared" si="14"/>
        <v>38540.4318</v>
      </c>
      <c r="AK13" s="30" t="str">
        <f t="shared" si="15"/>
        <v>A-</v>
      </c>
      <c r="AL13" s="30" t="str">
        <f t="shared" si="16"/>
        <v>0.42A-</v>
      </c>
    </row>
    <row r="14">
      <c r="A14" s="34">
        <v>2030.0</v>
      </c>
      <c r="B14" s="21">
        <f>AVERAGE(FORECAST($A14,B5:B13,$A5:$A13),B13*(AVERAGE(C6:C13)+1))</f>
        <v>141834754671550</v>
      </c>
      <c r="C14" s="24"/>
      <c r="D14" s="22">
        <f>AVERAGE(FORECAST($A14,D5:D13,$A5:$A13),D13*(AVERAGE(E6:E13)+1))</f>
        <v>8586617399</v>
      </c>
      <c r="E14" s="24"/>
      <c r="F14" s="21">
        <f>AVERAGE(FORECAST($A14,F5:F13,$A5:$A13),F13*(AVERAGE(G6:G13)+1))</f>
        <v>4781569921881</v>
      </c>
      <c r="H14" s="22">
        <f>AVERAGE(FORECAST($A14,H5:H13,$A5:$A13),H13*(AVERAGE(I6:I13)+1))</f>
        <v>70606568.87</v>
      </c>
      <c r="J14" s="35">
        <f t="shared" si="2"/>
        <v>0.03371225856</v>
      </c>
      <c r="K14" s="36">
        <f>FORECAST(A14,K3:K13,A3:A13)</f>
        <v>1239628571429</v>
      </c>
      <c r="L14" s="21">
        <f t="shared" si="30"/>
        <v>1185714285714</v>
      </c>
      <c r="M14" s="21">
        <f>FORECAST(A14,M3:M13,$A3:$A13)</f>
        <v>-53914285714</v>
      </c>
      <c r="N14" s="24">
        <f t="shared" si="21"/>
        <v>0.09059384482</v>
      </c>
      <c r="O14" s="24">
        <f t="shared" si="4"/>
        <v>-0.01127543602</v>
      </c>
      <c r="P14" s="24">
        <f>AVERAGE(FORECAST($A14,P3:P13,$A3:$A13),P13*(AVERAGE(Q4:Q13)+1))</f>
        <v>1.11150647</v>
      </c>
      <c r="R14" s="21">
        <f t="shared" si="31"/>
        <v>5314745903260</v>
      </c>
      <c r="S14" s="24">
        <f>FORECAST($A14,S3:S13,$A3:$A13)</f>
        <v>0.09278571429</v>
      </c>
      <c r="T14" s="21">
        <f t="shared" si="6"/>
        <v>493132494881</v>
      </c>
      <c r="U14" s="24">
        <f t="shared" si="7"/>
        <v>0.1031319217</v>
      </c>
      <c r="V14" s="24">
        <f>FORECAST($A14,V3:V13,$A3:$A13)</f>
        <v>0.078</v>
      </c>
      <c r="W14" s="21">
        <f t="shared" si="8"/>
        <v>67721.31826</v>
      </c>
      <c r="X14" s="21">
        <f t="shared" si="9"/>
        <v>62439.05544</v>
      </c>
      <c r="Y14" s="37">
        <f>AVERAGE(FORECAST($A14,Y3:Y13,$A3:$A13),Y13*(AVERAGE(Z4:Z13)+1))</f>
        <v>0.9747066361</v>
      </c>
      <c r="AA14" s="37">
        <f>AVERAGE(FORECAST($A14,AA3:AA13,$A3:$A13),AA13*(AVERAGE(AB4:AB13)+1))</f>
        <v>0.3310100375</v>
      </c>
      <c r="AC14" s="37">
        <f t="shared" si="10"/>
        <v>0.6436965985</v>
      </c>
      <c r="AD14" s="27">
        <f t="shared" ref="AD14:AG14" si="36">AD13+($AH14-$AH13)/4</f>
        <v>0.207766297</v>
      </c>
      <c r="AE14" s="27">
        <f t="shared" si="36"/>
        <v>0.138766297</v>
      </c>
      <c r="AF14" s="27">
        <f t="shared" si="36"/>
        <v>0.09776629703</v>
      </c>
      <c r="AG14" s="27">
        <f t="shared" si="36"/>
        <v>0.06876629703</v>
      </c>
      <c r="AH14" s="24">
        <f t="shared" si="33"/>
        <v>0.5130651881</v>
      </c>
      <c r="AI14" s="38">
        <f t="shared" si="13"/>
        <v>0.4323700889</v>
      </c>
      <c r="AJ14" s="21">
        <f t="shared" si="14"/>
        <v>40191.8076</v>
      </c>
      <c r="AK14" s="30" t="str">
        <f t="shared" si="15"/>
        <v>A</v>
      </c>
      <c r="AL14" s="30" t="str">
        <f t="shared" si="16"/>
        <v>0.43A</v>
      </c>
    </row>
  </sheetData>
  <mergeCells count="1">
    <mergeCell ref="B1:AL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7" width="15.88"/>
    <col customWidth="1" min="8" max="8" width="16.5"/>
    <col customWidth="1" min="9" max="9" width="21.0"/>
    <col customWidth="1" min="11" max="12" width="15.88"/>
    <col customWidth="1" min="13" max="13" width="15.0"/>
    <col customWidth="1" min="14" max="14" width="23.63"/>
    <col customWidth="1" min="15" max="15" width="18.38"/>
    <col customWidth="1" min="17" max="17" width="18.5"/>
    <col customWidth="1" min="18" max="18" width="16.75"/>
    <col customWidth="1" min="20" max="20" width="14.38"/>
    <col customWidth="1" min="21" max="21" width="20.5"/>
    <col customWidth="1" min="36" max="36" width="19.88"/>
    <col customWidth="1" min="37" max="37" width="16.88"/>
  </cols>
  <sheetData>
    <row r="1">
      <c r="A1" s="1" t="s">
        <v>88</v>
      </c>
      <c r="B1" s="18" t="s">
        <v>120</v>
      </c>
      <c r="AM1" s="18"/>
      <c r="AN1" s="18"/>
      <c r="AO1" s="18"/>
      <c r="AP1" s="18"/>
      <c r="AQ1" s="18"/>
      <c r="AR1" s="18"/>
    </row>
    <row r="2">
      <c r="A2" s="1" t="s">
        <v>90</v>
      </c>
      <c r="B2" s="1" t="s">
        <v>20</v>
      </c>
      <c r="C2" s="1" t="s">
        <v>91</v>
      </c>
      <c r="D2" s="1" t="s">
        <v>92</v>
      </c>
      <c r="E2" s="1" t="s">
        <v>93</v>
      </c>
      <c r="F2" s="1" t="s">
        <v>19</v>
      </c>
      <c r="G2" s="1" t="s">
        <v>94</v>
      </c>
      <c r="H2" s="1" t="s">
        <v>95</v>
      </c>
      <c r="I2" s="1" t="s">
        <v>96</v>
      </c>
      <c r="J2" s="19" t="s">
        <v>97</v>
      </c>
      <c r="K2" s="1" t="s">
        <v>98</v>
      </c>
      <c r="L2" s="1" t="s">
        <v>99</v>
      </c>
      <c r="M2" s="1" t="s">
        <v>100</v>
      </c>
      <c r="N2" s="1" t="s">
        <v>101</v>
      </c>
      <c r="O2" s="19" t="s">
        <v>102</v>
      </c>
      <c r="P2" s="1" t="s">
        <v>103</v>
      </c>
      <c r="Q2" s="1" t="s">
        <v>104</v>
      </c>
      <c r="R2" s="1" t="s">
        <v>105</v>
      </c>
      <c r="S2" s="1" t="s">
        <v>106</v>
      </c>
      <c r="T2" s="1" t="s">
        <v>107</v>
      </c>
      <c r="U2" s="19" t="s">
        <v>108</v>
      </c>
      <c r="V2" s="1" t="s">
        <v>25</v>
      </c>
      <c r="W2" s="1" t="s">
        <v>109</v>
      </c>
      <c r="X2" s="19" t="s">
        <v>5</v>
      </c>
      <c r="Y2" s="1" t="s">
        <v>29</v>
      </c>
      <c r="Z2" s="1" t="s">
        <v>110</v>
      </c>
      <c r="AA2" s="1" t="s">
        <v>30</v>
      </c>
      <c r="AB2" s="1" t="s">
        <v>111</v>
      </c>
      <c r="AC2" s="19" t="s">
        <v>9</v>
      </c>
      <c r="AD2" s="1" t="s">
        <v>112</v>
      </c>
      <c r="AE2" s="1" t="s">
        <v>113</v>
      </c>
      <c r="AF2" s="1" t="s">
        <v>114</v>
      </c>
      <c r="AG2" s="1" t="s">
        <v>115</v>
      </c>
      <c r="AH2" s="19" t="s">
        <v>116</v>
      </c>
      <c r="AI2" s="20" t="s">
        <v>117</v>
      </c>
      <c r="AJ2" s="20" t="s">
        <v>2</v>
      </c>
      <c r="AK2" s="1" t="s">
        <v>118</v>
      </c>
      <c r="AL2" s="1" t="s">
        <v>119</v>
      </c>
      <c r="AM2" s="1"/>
      <c r="AN2" s="1"/>
      <c r="AO2" s="1"/>
      <c r="AP2" s="1"/>
      <c r="AQ2" s="1"/>
      <c r="AR2" s="1"/>
    </row>
    <row r="3">
      <c r="A3" s="1">
        <v>2019.0</v>
      </c>
      <c r="B3" s="21">
        <f>87.7*1000000000000</f>
        <v>87700000000000</v>
      </c>
      <c r="C3" s="21"/>
      <c r="D3" s="22">
        <f>7.81*10^9</f>
        <v>7810000000</v>
      </c>
      <c r="E3" s="22"/>
      <c r="F3" s="21">
        <f>5.12*1000000000000</f>
        <v>5120000000000</v>
      </c>
      <c r="G3" s="21"/>
      <c r="H3" s="32">
        <v>1.26633E8</v>
      </c>
      <c r="I3" s="22"/>
      <c r="J3" s="23">
        <f t="shared" ref="J3:J14" si="2">F3/B3</f>
        <v>0.05838084379</v>
      </c>
      <c r="K3" s="21">
        <f>908.59*10^9</f>
        <v>908590000000</v>
      </c>
      <c r="L3" s="21">
        <f>893.78*10^9</f>
        <v>893780000000</v>
      </c>
      <c r="M3" s="21">
        <f t="shared" ref="M3:M9" si="3">L3-K3</f>
        <v>-14810000000</v>
      </c>
      <c r="N3" s="24"/>
      <c r="O3" s="23">
        <f t="shared" ref="O3:O14" si="4">M3/F3</f>
        <v>-0.002892578125</v>
      </c>
      <c r="P3" s="31">
        <v>1.9746</v>
      </c>
      <c r="Q3" s="24"/>
      <c r="R3" s="21">
        <f t="shared" ref="R3:R8" si="5">P3*F3</f>
        <v>10109952000000</v>
      </c>
      <c r="S3" s="31">
        <v>-0.001</v>
      </c>
      <c r="T3" s="21">
        <f t="shared" ref="T3:T14" si="6">R3*S3</f>
        <v>-10109952000</v>
      </c>
      <c r="U3" s="23">
        <f t="shared" ref="U3:U14" si="7">T3/F3</f>
        <v>-0.0019746</v>
      </c>
      <c r="V3" s="31">
        <v>0.005</v>
      </c>
      <c r="W3" s="21">
        <f t="shared" ref="W3:W14" si="8">F3/H3</f>
        <v>40431.79898</v>
      </c>
      <c r="X3" s="25">
        <f t="shared" ref="X3:X14" si="9">W3*(1-V3)</f>
        <v>40229.63998</v>
      </c>
      <c r="Y3" s="3">
        <v>0.918</v>
      </c>
      <c r="Z3" s="3"/>
      <c r="AA3" s="41">
        <v>0.33</v>
      </c>
      <c r="AB3" s="3"/>
      <c r="AC3" s="26">
        <f t="shared" ref="AC3:AC14" si="10">Y3-AA3</f>
        <v>0.588</v>
      </c>
      <c r="AD3" s="27">
        <f t="shared" ref="AD3:AG3" si="1">AD4+($AH3-$AH4)/4</f>
        <v>0.08443636745</v>
      </c>
      <c r="AE3" s="27">
        <f t="shared" si="1"/>
        <v>0.09443636745</v>
      </c>
      <c r="AF3" s="27">
        <f t="shared" si="1"/>
        <v>0.07743636745</v>
      </c>
      <c r="AG3" s="27">
        <f t="shared" si="1"/>
        <v>0.02743636745</v>
      </c>
      <c r="AH3" s="23">
        <f t="shared" ref="AH3:AH8" si="12">AH4*95%</f>
        <v>0.2837454698</v>
      </c>
      <c r="AI3" s="39">
        <f t="shared" ref="AI3:AI14" si="13">AH3+J3+O3-U3</f>
        <v>0.3412083354</v>
      </c>
      <c r="AJ3" s="29">
        <f t="shared" ref="AJ3:AJ14" si="14">X3*AC3</f>
        <v>23655.02831</v>
      </c>
      <c r="AK3" s="30" t="str">
        <f t="shared" ref="AK3:AK14" si="15">IFS(
AJ3&lt;=2500,"D-",
AJ3&lt;=5000,"D",
AJ3&lt;=10000,"D+",
AJ3&lt;=12500,"C-",
AJ3&lt;=15000,"C",
AJ3&lt;=20000,"C+",
AJ3&lt;=25000,"B-",
AJ3&lt;=30000,"B",
AJ3&lt;=35000,"B+",
AJ3&lt;=40000,"A-",
AJ3&lt;=50000,"A",
AJ3&lt;=100000,"A+",
TRUE,"Out of range"
)
</f>
        <v>B-</v>
      </c>
      <c r="AL3" s="30" t="str">
        <f t="shared" ref="AL3:AL14" si="16">CONCAT(ROUND(AI3,2),AK3)</f>
        <v>0.34B-</v>
      </c>
    </row>
    <row r="4">
      <c r="A4" s="1">
        <v>2020.0</v>
      </c>
      <c r="B4" s="21">
        <f>84.75*1000000000000</f>
        <v>84750000000000</v>
      </c>
      <c r="C4" s="24">
        <f t="shared" ref="C4:C13" si="17">(B4-B3)/B3</f>
        <v>-0.03363740023</v>
      </c>
      <c r="D4" s="22">
        <f>7.89*10^9</f>
        <v>7890000000</v>
      </c>
      <c r="E4" s="24">
        <f t="shared" ref="E4:E13" si="18">(D4-D3)/D3</f>
        <v>0.01024327785</v>
      </c>
      <c r="F4" s="21">
        <f>5.05*1000000000000</f>
        <v>5050000000000</v>
      </c>
      <c r="G4" s="24">
        <f t="shared" ref="G4:G13" si="19">(F4-F3)/F3</f>
        <v>-0.013671875</v>
      </c>
      <c r="H4" s="32">
        <v>1.26261E8</v>
      </c>
      <c r="I4" s="24">
        <f t="shared" ref="I4:I13" si="20">(H4-H3)/H3</f>
        <v>-0.002937622895</v>
      </c>
      <c r="J4" s="23">
        <f t="shared" si="2"/>
        <v>0.05958702065</v>
      </c>
      <c r="K4" s="33">
        <f>798.65*10^9</f>
        <v>798650000000</v>
      </c>
      <c r="L4" s="21">
        <f>785.06*10^9</f>
        <v>785060000000</v>
      </c>
      <c r="M4" s="21">
        <f t="shared" si="3"/>
        <v>-13590000000</v>
      </c>
      <c r="N4" s="24">
        <f t="shared" ref="N4:N14" si="21">(M4-M3)/M3</f>
        <v>-0.08237677245</v>
      </c>
      <c r="O4" s="23">
        <f t="shared" si="4"/>
        <v>-0.002691089109</v>
      </c>
      <c r="P4" s="31">
        <v>2.0556</v>
      </c>
      <c r="Q4" s="24">
        <f t="shared" ref="Q4:Q13" si="22">(P4-P3)/P3</f>
        <v>0.04102096627</v>
      </c>
      <c r="R4" s="21">
        <f t="shared" si="5"/>
        <v>10380780000000</v>
      </c>
      <c r="S4" s="31">
        <v>-0.001</v>
      </c>
      <c r="T4" s="21">
        <f t="shared" si="6"/>
        <v>-10380780000</v>
      </c>
      <c r="U4" s="23">
        <f t="shared" si="7"/>
        <v>-0.0020556</v>
      </c>
      <c r="V4" s="31">
        <f>AVERAGE(V3,V5)</f>
        <v>0.0015</v>
      </c>
      <c r="W4" s="21">
        <f t="shared" si="8"/>
        <v>39996.51516</v>
      </c>
      <c r="X4" s="25">
        <f t="shared" si="9"/>
        <v>39936.52038</v>
      </c>
      <c r="Y4" s="3">
        <v>0.917</v>
      </c>
      <c r="Z4" s="31">
        <f t="shared" ref="Z4:Z13" si="23">(Y4-Y3)/Y3</f>
        <v>-0.001089324619</v>
      </c>
      <c r="AA4" s="41">
        <v>0.323</v>
      </c>
      <c r="AB4" s="31">
        <f t="shared" ref="AB4:AB13" si="24">(AA4-AA3)/AA4</f>
        <v>-0.02167182663</v>
      </c>
      <c r="AC4" s="26">
        <f t="shared" si="10"/>
        <v>0.594</v>
      </c>
      <c r="AD4" s="27">
        <f t="shared" ref="AD4:AG4" si="11">AD5+($AH4-$AH5)/4</f>
        <v>0.08816986047</v>
      </c>
      <c r="AE4" s="27">
        <f t="shared" si="11"/>
        <v>0.09816986047</v>
      </c>
      <c r="AF4" s="27">
        <f t="shared" si="11"/>
        <v>0.08116986047</v>
      </c>
      <c r="AG4" s="27">
        <f t="shared" si="11"/>
        <v>0.03116986047</v>
      </c>
      <c r="AH4" s="23">
        <f t="shared" si="12"/>
        <v>0.2986794419</v>
      </c>
      <c r="AI4" s="39">
        <f t="shared" si="13"/>
        <v>0.3576309734</v>
      </c>
      <c r="AJ4" s="29">
        <f t="shared" si="14"/>
        <v>23722.29311</v>
      </c>
      <c r="AK4" s="30" t="str">
        <f t="shared" si="15"/>
        <v>B-</v>
      </c>
      <c r="AL4" s="30" t="str">
        <f t="shared" si="16"/>
        <v>0.36B-</v>
      </c>
    </row>
    <row r="5">
      <c r="A5" s="1">
        <v>2021.0</v>
      </c>
      <c r="B5" s="21">
        <f>96.14*1000000000000</f>
        <v>96140000000000</v>
      </c>
      <c r="C5" s="24">
        <f t="shared" si="17"/>
        <v>0.1343952802</v>
      </c>
      <c r="D5" s="22">
        <f>7.95*10^9</f>
        <v>7950000000</v>
      </c>
      <c r="E5" s="24">
        <f t="shared" si="18"/>
        <v>0.007604562738</v>
      </c>
      <c r="F5" s="21">
        <f>5.04*1000000000000</f>
        <v>5040000000000</v>
      </c>
      <c r="G5" s="24">
        <f t="shared" si="19"/>
        <v>-0.00198019802</v>
      </c>
      <c r="H5" s="32">
        <v>1.25681593E8</v>
      </c>
      <c r="I5" s="24">
        <f t="shared" si="20"/>
        <v>-0.004588962546</v>
      </c>
      <c r="J5" s="23">
        <f t="shared" si="2"/>
        <v>0.05242354899</v>
      </c>
      <c r="K5" s="33">
        <f>938.76*10^9</f>
        <v>938760000000</v>
      </c>
      <c r="L5" s="21">
        <f>912.55*10^9</f>
        <v>912550000000</v>
      </c>
      <c r="M5" s="21">
        <f t="shared" si="3"/>
        <v>-26210000000</v>
      </c>
      <c r="N5" s="24">
        <f t="shared" si="21"/>
        <v>0.9286239882</v>
      </c>
      <c r="O5" s="23">
        <f t="shared" si="4"/>
        <v>-0.005200396825</v>
      </c>
      <c r="P5" s="31">
        <v>2.1413</v>
      </c>
      <c r="Q5" s="24">
        <f t="shared" si="22"/>
        <v>0.04169099047</v>
      </c>
      <c r="R5" s="21">
        <f t="shared" si="5"/>
        <v>10792152000000</v>
      </c>
      <c r="S5" s="31">
        <v>-0.001</v>
      </c>
      <c r="T5" s="21">
        <f t="shared" si="6"/>
        <v>-10792152000</v>
      </c>
      <c r="U5" s="23">
        <f t="shared" si="7"/>
        <v>-0.0021413</v>
      </c>
      <c r="V5" s="31">
        <v>-0.002</v>
      </c>
      <c r="W5" s="21">
        <f t="shared" si="8"/>
        <v>40101.33767</v>
      </c>
      <c r="X5" s="25">
        <f t="shared" si="9"/>
        <v>40181.54035</v>
      </c>
      <c r="Y5" s="3">
        <v>0.92</v>
      </c>
      <c r="Z5" s="31">
        <f t="shared" si="23"/>
        <v>0.003271537623</v>
      </c>
      <c r="AA5" s="42">
        <f t="shared" ref="AA5:AA8" si="26">AVERAGE(AA4,$AA$9)</f>
        <v>0.3075</v>
      </c>
      <c r="AB5" s="31">
        <f t="shared" si="24"/>
        <v>-0.05040650407</v>
      </c>
      <c r="AC5" s="26">
        <f t="shared" si="10"/>
        <v>0.6125</v>
      </c>
      <c r="AD5" s="27">
        <f t="shared" ref="AD5:AG5" si="25">AD6+($AH5-$AH6)/4</f>
        <v>0.09209985313</v>
      </c>
      <c r="AE5" s="27">
        <f t="shared" si="25"/>
        <v>0.1020998531</v>
      </c>
      <c r="AF5" s="27">
        <f t="shared" si="25"/>
        <v>0.08509985313</v>
      </c>
      <c r="AG5" s="27">
        <f t="shared" si="25"/>
        <v>0.03509985313</v>
      </c>
      <c r="AH5" s="23">
        <f t="shared" si="12"/>
        <v>0.3143994125</v>
      </c>
      <c r="AI5" s="39">
        <f t="shared" si="13"/>
        <v>0.3637638647</v>
      </c>
      <c r="AJ5" s="29">
        <f t="shared" si="14"/>
        <v>24611.19346</v>
      </c>
      <c r="AK5" s="30" t="str">
        <f t="shared" si="15"/>
        <v>B-</v>
      </c>
      <c r="AL5" s="30" t="str">
        <f t="shared" si="16"/>
        <v>0.36B-</v>
      </c>
    </row>
    <row r="6">
      <c r="A6" s="1">
        <v>2022.0</v>
      </c>
      <c r="B6" s="21">
        <f>101.56*1000000000000</f>
        <v>101560000000000</v>
      </c>
      <c r="C6" s="24">
        <f t="shared" si="17"/>
        <v>0.05637611816</v>
      </c>
      <c r="D6" s="22">
        <f>8.02*10^9</f>
        <v>8020000000</v>
      </c>
      <c r="E6" s="24">
        <f t="shared" si="18"/>
        <v>0.008805031447</v>
      </c>
      <c r="F6" s="21">
        <f>4.26*1000000000000</f>
        <v>4260000000000</v>
      </c>
      <c r="G6" s="24">
        <f t="shared" si="19"/>
        <v>-0.1547619048</v>
      </c>
      <c r="H6" s="32">
        <v>1.25124989E8</v>
      </c>
      <c r="I6" s="24">
        <f t="shared" si="20"/>
        <v>-0.004428683522</v>
      </c>
      <c r="J6" s="23">
        <f t="shared" si="2"/>
        <v>0.04194564789</v>
      </c>
      <c r="K6" s="21">
        <f>1.077*10^12</f>
        <v>1077000000000</v>
      </c>
      <c r="L6" s="21">
        <f>918.41*10^9</f>
        <v>918410000000</v>
      </c>
      <c r="M6" s="21">
        <f t="shared" si="3"/>
        <v>-158590000000</v>
      </c>
      <c r="N6" s="24">
        <f t="shared" si="21"/>
        <v>5.050743991</v>
      </c>
      <c r="O6" s="23">
        <f t="shared" si="4"/>
        <v>-0.03722769953</v>
      </c>
      <c r="P6" s="31">
        <v>2.1477</v>
      </c>
      <c r="Q6" s="24">
        <f t="shared" si="22"/>
        <v>0.002988838556</v>
      </c>
      <c r="R6" s="21">
        <f t="shared" si="5"/>
        <v>9149202000000</v>
      </c>
      <c r="S6" s="31">
        <v>-0.001</v>
      </c>
      <c r="T6" s="21">
        <f t="shared" si="6"/>
        <v>-9149202000</v>
      </c>
      <c r="U6" s="23">
        <f t="shared" si="7"/>
        <v>-0.0021477</v>
      </c>
      <c r="V6" s="31">
        <v>0.025</v>
      </c>
      <c r="W6" s="21">
        <f t="shared" si="8"/>
        <v>34045.95704</v>
      </c>
      <c r="X6" s="25">
        <f t="shared" si="9"/>
        <v>33194.80811</v>
      </c>
      <c r="Y6" s="3">
        <v>0.92</v>
      </c>
      <c r="Z6" s="31">
        <f t="shared" si="23"/>
        <v>0</v>
      </c>
      <c r="AA6" s="42">
        <f t="shared" si="26"/>
        <v>0.29975</v>
      </c>
      <c r="AB6" s="31">
        <f t="shared" si="24"/>
        <v>-0.02585487907</v>
      </c>
      <c r="AC6" s="26">
        <f t="shared" si="10"/>
        <v>0.62025</v>
      </c>
      <c r="AD6" s="27">
        <f t="shared" ref="AD6:AG6" si="27">AD7+($AH6-$AH7)/4</f>
        <v>0.0962366875</v>
      </c>
      <c r="AE6" s="27">
        <f t="shared" si="27"/>
        <v>0.1062366875</v>
      </c>
      <c r="AF6" s="27">
        <f t="shared" si="27"/>
        <v>0.0892366875</v>
      </c>
      <c r="AG6" s="27">
        <f t="shared" si="27"/>
        <v>0.0392366875</v>
      </c>
      <c r="AH6" s="23">
        <f t="shared" si="12"/>
        <v>0.33094675</v>
      </c>
      <c r="AI6" s="39">
        <f t="shared" si="13"/>
        <v>0.3378123984</v>
      </c>
      <c r="AJ6" s="29">
        <f t="shared" si="14"/>
        <v>20589.07973</v>
      </c>
      <c r="AK6" s="30" t="str">
        <f t="shared" si="15"/>
        <v>B-</v>
      </c>
      <c r="AL6" s="30" t="str">
        <f t="shared" si="16"/>
        <v>0.34B-</v>
      </c>
    </row>
    <row r="7">
      <c r="A7" s="1">
        <v>2023.0</v>
      </c>
      <c r="B7" s="21">
        <f>106.8*1000000000000</f>
        <v>106800000000000</v>
      </c>
      <c r="C7" s="24">
        <f t="shared" si="17"/>
        <v>0.05159511619</v>
      </c>
      <c r="D7" s="32">
        <f>8.09*10^9</f>
        <v>8090000000</v>
      </c>
      <c r="E7" s="24">
        <f t="shared" si="18"/>
        <v>0.008728179551</v>
      </c>
      <c r="F7" s="21">
        <f>4.21*1000000000000</f>
        <v>4210000000000</v>
      </c>
      <c r="G7" s="24">
        <f t="shared" si="19"/>
        <v>-0.0117370892</v>
      </c>
      <c r="H7" s="32">
        <v>1.2451665E8</v>
      </c>
      <c r="I7" s="24">
        <f t="shared" si="20"/>
        <v>-0.004861850577</v>
      </c>
      <c r="J7" s="23">
        <f t="shared" si="2"/>
        <v>0.03941947566</v>
      </c>
      <c r="K7" s="21">
        <f>981.84*10^9</f>
        <v>981840000000</v>
      </c>
      <c r="L7" s="21">
        <f>920.64*10^9</f>
        <v>920640000000</v>
      </c>
      <c r="M7" s="21">
        <f t="shared" si="3"/>
        <v>-61200000000</v>
      </c>
      <c r="N7" s="24">
        <f t="shared" si="21"/>
        <v>-0.6140992496</v>
      </c>
      <c r="O7" s="23">
        <f t="shared" si="4"/>
        <v>-0.0145368171</v>
      </c>
      <c r="P7" s="31">
        <v>2.0565</v>
      </c>
      <c r="Q7" s="24">
        <f t="shared" si="22"/>
        <v>-0.04246403129</v>
      </c>
      <c r="R7" s="21">
        <f t="shared" si="5"/>
        <v>8657865000000</v>
      </c>
      <c r="S7" s="31">
        <v>-0.001</v>
      </c>
      <c r="T7" s="21">
        <f t="shared" si="6"/>
        <v>-8657865000</v>
      </c>
      <c r="U7" s="23">
        <f t="shared" si="7"/>
        <v>-0.0020565</v>
      </c>
      <c r="V7" s="31">
        <v>0.033</v>
      </c>
      <c r="W7" s="21">
        <f t="shared" si="8"/>
        <v>33810.73937</v>
      </c>
      <c r="X7" s="25">
        <f t="shared" si="9"/>
        <v>32694.98497</v>
      </c>
      <c r="Y7" s="3">
        <v>0.93</v>
      </c>
      <c r="Z7" s="31">
        <f t="shared" si="23"/>
        <v>0.01086956522</v>
      </c>
      <c r="AA7" s="42">
        <f t="shared" si="26"/>
        <v>0.295875</v>
      </c>
      <c r="AB7" s="31">
        <f t="shared" si="24"/>
        <v>-0.01309674694</v>
      </c>
      <c r="AC7" s="26">
        <f t="shared" si="10"/>
        <v>0.634125</v>
      </c>
      <c r="AD7" s="27">
        <f t="shared" ref="AD7:AG7" si="28">AD8+($AH7-$AH8)/4</f>
        <v>0.10059125</v>
      </c>
      <c r="AE7" s="27">
        <f t="shared" si="28"/>
        <v>0.11059125</v>
      </c>
      <c r="AF7" s="27">
        <f t="shared" si="28"/>
        <v>0.09359125</v>
      </c>
      <c r="AG7" s="27">
        <f t="shared" si="28"/>
        <v>0.04359125</v>
      </c>
      <c r="AH7" s="23">
        <f t="shared" si="12"/>
        <v>0.348365</v>
      </c>
      <c r="AI7" s="39">
        <f t="shared" si="13"/>
        <v>0.3753041586</v>
      </c>
      <c r="AJ7" s="29">
        <f t="shared" si="14"/>
        <v>20732.70734</v>
      </c>
      <c r="AK7" s="30" t="str">
        <f t="shared" si="15"/>
        <v>B-</v>
      </c>
      <c r="AL7" s="30" t="str">
        <f t="shared" si="16"/>
        <v>0.38B-</v>
      </c>
    </row>
    <row r="8">
      <c r="A8" s="1">
        <v>2024.0</v>
      </c>
      <c r="B8" s="21">
        <f>112.6*1000000000000</f>
        <v>112600000000000</v>
      </c>
      <c r="C8" s="24">
        <f t="shared" si="17"/>
        <v>0.0543071161</v>
      </c>
      <c r="D8" s="32">
        <v>8.161972572E9</v>
      </c>
      <c r="E8" s="24">
        <f t="shared" si="18"/>
        <v>0.008896486032</v>
      </c>
      <c r="F8" s="21">
        <f>4.03*1000000000000</f>
        <v>4030000000000</v>
      </c>
      <c r="G8" s="24">
        <f t="shared" si="19"/>
        <v>-0.04275534442</v>
      </c>
      <c r="H8" s="32">
        <v>1.22631432E8</v>
      </c>
      <c r="I8" s="24">
        <f t="shared" si="20"/>
        <v>-0.01514028847</v>
      </c>
      <c r="J8" s="23">
        <f t="shared" si="2"/>
        <v>0.03579040853</v>
      </c>
      <c r="K8" s="21">
        <f>952.04*10^9</f>
        <v>952040000000</v>
      </c>
      <c r="L8" s="21">
        <f>917.04*10^9</f>
        <v>917040000000</v>
      </c>
      <c r="M8" s="21">
        <f t="shared" si="3"/>
        <v>-35000000000</v>
      </c>
      <c r="N8" s="24">
        <f t="shared" si="21"/>
        <v>-0.4281045752</v>
      </c>
      <c r="O8" s="23">
        <f t="shared" si="4"/>
        <v>-0.008684863524</v>
      </c>
      <c r="P8" s="31">
        <v>2.0093</v>
      </c>
      <c r="Q8" s="24">
        <f t="shared" si="22"/>
        <v>-0.02295161682</v>
      </c>
      <c r="R8" s="21">
        <f t="shared" si="5"/>
        <v>8097479000000</v>
      </c>
      <c r="S8" s="31">
        <v>0.001</v>
      </c>
      <c r="T8" s="21">
        <f t="shared" si="6"/>
        <v>8097479000</v>
      </c>
      <c r="U8" s="23">
        <f t="shared" si="7"/>
        <v>0.0020093</v>
      </c>
      <c r="V8" s="31">
        <v>0.027</v>
      </c>
      <c r="W8" s="21">
        <f t="shared" si="8"/>
        <v>32862.70032</v>
      </c>
      <c r="X8" s="25">
        <f t="shared" si="9"/>
        <v>31975.40741</v>
      </c>
      <c r="Y8" s="30">
        <f>AVERAGE(Y7,Y9)</f>
        <v>0.9345</v>
      </c>
      <c r="Z8" s="31">
        <f t="shared" si="23"/>
        <v>0.004838709677</v>
      </c>
      <c r="AA8" s="42">
        <f t="shared" si="26"/>
        <v>0.2939375</v>
      </c>
      <c r="AB8" s="31">
        <f t="shared" si="24"/>
        <v>-0.006591537317</v>
      </c>
      <c r="AC8" s="26">
        <f t="shared" si="10"/>
        <v>0.6405625</v>
      </c>
      <c r="AD8" s="27">
        <f t="shared" ref="AD8:AG8" si="29">AD9+($AH8-$AH9)/4</f>
        <v>0.105175</v>
      </c>
      <c r="AE8" s="27">
        <f t="shared" si="29"/>
        <v>0.115175</v>
      </c>
      <c r="AF8" s="27">
        <f t="shared" si="29"/>
        <v>0.098175</v>
      </c>
      <c r="AG8" s="27">
        <f t="shared" si="29"/>
        <v>0.048175</v>
      </c>
      <c r="AH8" s="23">
        <f t="shared" si="12"/>
        <v>0.3667</v>
      </c>
      <c r="AI8" s="39">
        <f t="shared" si="13"/>
        <v>0.391796245</v>
      </c>
      <c r="AJ8" s="29">
        <f t="shared" si="14"/>
        <v>20482.24691</v>
      </c>
      <c r="AK8" s="30" t="str">
        <f t="shared" si="15"/>
        <v>B-</v>
      </c>
      <c r="AL8" s="30" t="str">
        <f t="shared" si="16"/>
        <v>0.39B-</v>
      </c>
    </row>
    <row r="9">
      <c r="A9" s="1">
        <v>2025.0</v>
      </c>
      <c r="B9" s="33">
        <v>1.13795678E14</v>
      </c>
      <c r="C9" s="24">
        <f t="shared" si="17"/>
        <v>0.01061880995</v>
      </c>
      <c r="D9" s="32">
        <v>8.23161307E9</v>
      </c>
      <c r="E9" s="24">
        <f t="shared" si="18"/>
        <v>0.008532312181</v>
      </c>
      <c r="F9" s="33">
        <v>4.186E12</v>
      </c>
      <c r="G9" s="24">
        <f t="shared" si="19"/>
        <v>0.03870967742</v>
      </c>
      <c r="H9" s="32">
        <v>1.234E8</v>
      </c>
      <c r="I9" s="24">
        <f t="shared" si="20"/>
        <v>0.006267300214</v>
      </c>
      <c r="J9" s="23">
        <f t="shared" si="2"/>
        <v>0.03678522835</v>
      </c>
      <c r="K9" s="33">
        <v>1.385E12</v>
      </c>
      <c r="L9" s="33">
        <f>K9-8000000000</f>
        <v>1377000000000</v>
      </c>
      <c r="M9" s="33">
        <f t="shared" si="3"/>
        <v>-8000000000</v>
      </c>
      <c r="N9" s="24">
        <f t="shared" si="21"/>
        <v>-0.7714285714</v>
      </c>
      <c r="O9" s="23">
        <f t="shared" si="4"/>
        <v>-0.001911132346</v>
      </c>
      <c r="P9" s="24">
        <f>R9/F9</f>
        <v>0.42</v>
      </c>
      <c r="Q9" s="24">
        <f t="shared" si="22"/>
        <v>-0.7909719803</v>
      </c>
      <c r="R9" s="33">
        <v>1.75812E12</v>
      </c>
      <c r="S9" s="31">
        <v>0.0275</v>
      </c>
      <c r="T9" s="21">
        <f t="shared" si="6"/>
        <v>48348300000</v>
      </c>
      <c r="U9" s="23">
        <f t="shared" si="7"/>
        <v>0.01155</v>
      </c>
      <c r="V9" s="31">
        <v>0.017</v>
      </c>
      <c r="W9" s="21">
        <f t="shared" si="8"/>
        <v>33922.20421</v>
      </c>
      <c r="X9" s="25">
        <f t="shared" si="9"/>
        <v>33345.52674</v>
      </c>
      <c r="Y9" s="3">
        <v>0.939</v>
      </c>
      <c r="Z9" s="31">
        <f t="shared" si="23"/>
        <v>0.00481540931</v>
      </c>
      <c r="AA9" s="41">
        <v>0.292</v>
      </c>
      <c r="AB9" s="31">
        <f t="shared" si="24"/>
        <v>-0.006635273973</v>
      </c>
      <c r="AC9" s="26">
        <f t="shared" si="10"/>
        <v>0.647</v>
      </c>
      <c r="AD9" s="31">
        <v>0.11</v>
      </c>
      <c r="AE9" s="31">
        <v>0.12</v>
      </c>
      <c r="AF9" s="31">
        <v>0.103</v>
      </c>
      <c r="AG9" s="31">
        <v>0.053</v>
      </c>
      <c r="AH9" s="23">
        <f>SUM(AD9:AG9)</f>
        <v>0.386</v>
      </c>
      <c r="AI9" s="39">
        <f t="shared" si="13"/>
        <v>0.409324096</v>
      </c>
      <c r="AJ9" s="29">
        <f t="shared" si="14"/>
        <v>21574.5558</v>
      </c>
      <c r="AK9" s="30" t="str">
        <f t="shared" si="15"/>
        <v>B-</v>
      </c>
      <c r="AL9" s="30" t="str">
        <f t="shared" si="16"/>
        <v>0.41B-</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3901191229772</v>
      </c>
      <c r="G10" s="24">
        <f t="shared" si="19"/>
        <v>-0.06803840665</v>
      </c>
      <c r="H10" s="22">
        <f>AVERAGE(FORECAST(A10,H3:H9,$A$3:$A$9),H9*(AVERAGE(I4:I9)+1))</f>
        <v>122587647.6</v>
      </c>
      <c r="I10" s="24">
        <f t="shared" si="20"/>
        <v>-0.006583082997</v>
      </c>
      <c r="J10" s="35">
        <f t="shared" si="2"/>
        <v>0.03249264884</v>
      </c>
      <c r="K10" s="36">
        <f>FORECAST(A10,K3:K9,A3:A9)</f>
        <v>1260138571429</v>
      </c>
      <c r="L10" s="36">
        <f t="shared" ref="L10:L14" si="31">K10+M10</f>
        <v>1206598571429</v>
      </c>
      <c r="M10" s="21">
        <f>FORECAST(A10,M3:M9,$A$3:$A$9)</f>
        <v>-53540000000</v>
      </c>
      <c r="N10" s="24">
        <f t="shared" si="21"/>
        <v>5.6925</v>
      </c>
      <c r="O10" s="24">
        <f t="shared" si="4"/>
        <v>-0.01372401322</v>
      </c>
      <c r="P10" s="24">
        <f>AVERAGE(FORECAST(A10,P3:P9,$A$3:$A$9),P9*(AVERAGE(Q4:Q9)+1))</f>
        <v>0.751868818</v>
      </c>
      <c r="Q10" s="24">
        <f t="shared" si="22"/>
        <v>0.7901638523</v>
      </c>
      <c r="R10" s="21">
        <f t="shared" ref="R10:R14" si="32">P10*F10</f>
        <v>2933184038658</v>
      </c>
      <c r="S10" s="24">
        <f>FORECAST(A10,S3:S9,$A$3:$A$9)</f>
        <v>0.01614285714</v>
      </c>
      <c r="T10" s="21">
        <f t="shared" si="6"/>
        <v>47349970910</v>
      </c>
      <c r="U10" s="24">
        <f t="shared" si="7"/>
        <v>0.01213731092</v>
      </c>
      <c r="V10" s="24">
        <f>FORECAST(A10,V3:V9,$A$3:$A$9)</f>
        <v>0.03264285714</v>
      </c>
      <c r="W10" s="21">
        <f t="shared" si="8"/>
        <v>31823.68948</v>
      </c>
      <c r="X10" s="21">
        <f t="shared" si="9"/>
        <v>30784.87333</v>
      </c>
      <c r="Y10" s="37">
        <f>AVERAGE(FORECAST(A10,Y3:Y9,$A$3:$A$9),Y9*(AVERAGE(Z4:Z9)+1))</f>
        <v>0.9417410222</v>
      </c>
      <c r="Z10" s="31">
        <f t="shared" si="23"/>
        <v>0.002919086444</v>
      </c>
      <c r="AA10" s="38">
        <f>AVERAGE(FORECAST(A10,AA3:AA9,$A$3:$A$9),AA9*(AVERAGE(AB4:AB9)+1))</f>
        <v>0.2828558829</v>
      </c>
      <c r="AB10" s="31">
        <f t="shared" si="24"/>
        <v>-0.0323278306</v>
      </c>
      <c r="AC10" s="37">
        <f t="shared" si="10"/>
        <v>0.6588851392</v>
      </c>
      <c r="AD10" s="27">
        <f t="shared" ref="AD10:AG10" si="30">AD9+($AH10-$AH9)/4</f>
        <v>0.114825</v>
      </c>
      <c r="AE10" s="27">
        <f t="shared" si="30"/>
        <v>0.124825</v>
      </c>
      <c r="AF10" s="27">
        <f t="shared" si="30"/>
        <v>0.107825</v>
      </c>
      <c r="AG10" s="27">
        <f t="shared" si="30"/>
        <v>0.057825</v>
      </c>
      <c r="AH10" s="24">
        <f t="shared" ref="AH10:AH14" si="34">AH9*1.05</f>
        <v>0.4053</v>
      </c>
      <c r="AI10" s="38">
        <f t="shared" si="13"/>
        <v>0.4119313247</v>
      </c>
      <c r="AJ10" s="21">
        <f t="shared" si="14"/>
        <v>20283.69555</v>
      </c>
      <c r="AK10" s="30" t="str">
        <f t="shared" si="15"/>
        <v>B-</v>
      </c>
      <c r="AL10" s="30" t="str">
        <f t="shared" si="16"/>
        <v>0.41B-</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3690334857977</v>
      </c>
      <c r="G11" s="24">
        <f t="shared" si="19"/>
        <v>-0.05404922737</v>
      </c>
      <c r="H11" s="22">
        <f>AVERAGE(FORECAST($A11,H3:H10,$A3:$A10),H10*(AVERAGE(I4:I10)+1))</f>
        <v>121910430.5</v>
      </c>
      <c r="I11" s="24">
        <f t="shared" si="20"/>
        <v>-0.005524349563</v>
      </c>
      <c r="J11" s="35">
        <f t="shared" si="2"/>
        <v>0.02934997378</v>
      </c>
      <c r="K11" s="36">
        <f>FORECAST(A11,K3:K10,A3:A10)</f>
        <v>1323677500000</v>
      </c>
      <c r="L11" s="21">
        <f t="shared" si="31"/>
        <v>1268088214286</v>
      </c>
      <c r="M11" s="21">
        <f>FORECAST(A11,M3:M10,$A3:$A10)</f>
        <v>-55589285714</v>
      </c>
      <c r="N11" s="24">
        <f t="shared" si="21"/>
        <v>0.03827578846</v>
      </c>
      <c r="O11" s="24">
        <f t="shared" si="4"/>
        <v>-0.01506348011</v>
      </c>
      <c r="P11" s="24">
        <f>AVERAGE(FORECAST($A11,P3:P10,$A3:$A10),P10*(AVERAGE(Q4:Q10)+1))</f>
        <v>0.7629190537</v>
      </c>
      <c r="Q11" s="24">
        <f t="shared" si="22"/>
        <v>0.01469702624</v>
      </c>
      <c r="R11" s="21">
        <f t="shared" si="32"/>
        <v>2815426777805</v>
      </c>
      <c r="S11" s="24">
        <f>FORECAST($A11,S3:S10,$A3:$A10)</f>
        <v>0.01933928571</v>
      </c>
      <c r="T11" s="21">
        <f t="shared" si="6"/>
        <v>54448342864</v>
      </c>
      <c r="U11" s="24">
        <f t="shared" si="7"/>
        <v>0.01475430956</v>
      </c>
      <c r="V11" s="24">
        <f>FORECAST($A11,V3:V10,$A3:$A10)</f>
        <v>0.037</v>
      </c>
      <c r="W11" s="21">
        <f t="shared" si="8"/>
        <v>30270.87052</v>
      </c>
      <c r="X11" s="21">
        <f t="shared" si="9"/>
        <v>29150.84831</v>
      </c>
      <c r="Y11" s="37">
        <f>AVERAGE(FORECAST($A11,Y3:Y10,$A3:$A10),Y10*(AVERAGE(Z4:Z10)+1))</f>
        <v>0.9451902022</v>
      </c>
      <c r="Z11" s="31">
        <f t="shared" si="23"/>
        <v>0.003662556869</v>
      </c>
      <c r="AA11" s="38">
        <f>AVERAGE(FORECAST($A11,AA3:AA10,$A3:$A10),AA10*(AVERAGE(AB4:AB10)+1))</f>
        <v>0.2756367604</v>
      </c>
      <c r="AB11" s="31">
        <f t="shared" si="24"/>
        <v>-0.02619071019</v>
      </c>
      <c r="AC11" s="37">
        <f t="shared" si="10"/>
        <v>0.6695534418</v>
      </c>
      <c r="AD11" s="27">
        <f t="shared" ref="AD11:AG11" si="33">AD10+($AH11-$AH10)/4</f>
        <v>0.11989125</v>
      </c>
      <c r="AE11" s="27">
        <f t="shared" si="33"/>
        <v>0.12989125</v>
      </c>
      <c r="AF11" s="27">
        <f t="shared" si="33"/>
        <v>0.11289125</v>
      </c>
      <c r="AG11" s="27">
        <f t="shared" si="33"/>
        <v>0.06289125</v>
      </c>
      <c r="AH11" s="24">
        <f t="shared" si="34"/>
        <v>0.425565</v>
      </c>
      <c r="AI11" s="38">
        <f t="shared" si="13"/>
        <v>0.4250971841</v>
      </c>
      <c r="AJ11" s="21">
        <f t="shared" si="14"/>
        <v>19518.05082</v>
      </c>
      <c r="AK11" s="30" t="str">
        <f t="shared" si="15"/>
        <v>C+</v>
      </c>
      <c r="AL11" s="30" t="str">
        <f t="shared" si="16"/>
        <v>0.43C+</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3505185724021</v>
      </c>
      <c r="G12" s="24">
        <f t="shared" si="19"/>
        <v>-0.05017136414</v>
      </c>
      <c r="H12" s="22">
        <f>AVERAGE(FORECAST($A12,H3:H11,$A3:$A11),H11*(AVERAGE(I4:I11)+1))</f>
        <v>121279522.5</v>
      </c>
      <c r="I12" s="24">
        <f t="shared" si="20"/>
        <v>-0.005175177045</v>
      </c>
      <c r="J12" s="35">
        <f t="shared" si="2"/>
        <v>0.02670873239</v>
      </c>
      <c r="K12" s="36">
        <f>FORECAST(A12,K3:K11,A3:A11)</f>
        <v>1387216428571</v>
      </c>
      <c r="L12" s="21">
        <f t="shared" si="31"/>
        <v>1329577857143</v>
      </c>
      <c r="M12" s="21">
        <f>FORECAST(A12,M3:M11,$A3:$A11)</f>
        <v>-57638571429</v>
      </c>
      <c r="N12" s="24">
        <f t="shared" si="21"/>
        <v>0.03686476068</v>
      </c>
      <c r="O12" s="24">
        <f t="shared" si="4"/>
        <v>-0.01644379955</v>
      </c>
      <c r="P12" s="24">
        <f>AVERAGE(FORECAST($A12,P3:P11,$A3:$A11),P11*(AVERAGE(Q4:Q11)+1))</f>
        <v>0.664511244</v>
      </c>
      <c r="Q12" s="24">
        <f t="shared" si="22"/>
        <v>-0.1289885333</v>
      </c>
      <c r="R12" s="21">
        <f t="shared" si="32"/>
        <v>2329235325767</v>
      </c>
      <c r="S12" s="24">
        <f>FORECAST($A12,S3:S11,$A3:$A11)</f>
        <v>0.02253571429</v>
      </c>
      <c r="T12" s="21">
        <f t="shared" si="6"/>
        <v>52490981806</v>
      </c>
      <c r="U12" s="24">
        <f t="shared" si="7"/>
        <v>0.01497523553</v>
      </c>
      <c r="V12" s="24">
        <f>FORECAST($A12,V3:V11,$A3:$A11)</f>
        <v>0.04135714286</v>
      </c>
      <c r="W12" s="21">
        <f t="shared" si="8"/>
        <v>28901.71112</v>
      </c>
      <c r="X12" s="21">
        <f t="shared" si="9"/>
        <v>27706.41893</v>
      </c>
      <c r="Y12" s="37">
        <f>AVERAGE(FORECAST($A12,Y3:Y11,$A3:$A11),Y11*(AVERAGE(Z4:Z11)+1))</f>
        <v>0.9488832519</v>
      </c>
      <c r="Z12" s="31">
        <f t="shared" si="23"/>
        <v>0.003907202674</v>
      </c>
      <c r="AA12" s="37">
        <f>AVERAGE(FORECAST($A12,AA3:AA11,$A3:$A11),AA11*(AVERAGE(AB4:AB11)+1))</f>
        <v>0.2690880882</v>
      </c>
      <c r="AB12" s="31">
        <f t="shared" si="24"/>
        <v>-0.0243365372</v>
      </c>
      <c r="AC12" s="37">
        <f t="shared" si="10"/>
        <v>0.6797951638</v>
      </c>
      <c r="AD12" s="27">
        <f t="shared" ref="AD12:AG12" si="35">AD11+($AH12-$AH11)/4</f>
        <v>0.1252108125</v>
      </c>
      <c r="AE12" s="27">
        <f t="shared" si="35"/>
        <v>0.1352108125</v>
      </c>
      <c r="AF12" s="27">
        <f t="shared" si="35"/>
        <v>0.1182108125</v>
      </c>
      <c r="AG12" s="27">
        <f t="shared" si="35"/>
        <v>0.0682108125</v>
      </c>
      <c r="AH12" s="24">
        <f t="shared" si="34"/>
        <v>0.44684325</v>
      </c>
      <c r="AI12" s="38">
        <f t="shared" si="13"/>
        <v>0.4421329473</v>
      </c>
      <c r="AJ12" s="21">
        <f t="shared" si="14"/>
        <v>18834.68959</v>
      </c>
      <c r="AK12" s="30" t="str">
        <f t="shared" si="15"/>
        <v>C+</v>
      </c>
      <c r="AL12" s="30" t="str">
        <f t="shared" si="16"/>
        <v>0.44C+</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3329974985170</v>
      </c>
      <c r="G13" s="24">
        <f t="shared" si="19"/>
        <v>-0.04998614985</v>
      </c>
      <c r="H13" s="22">
        <f>AVERAGE(FORECAST($A13,H3:H12,$A3:$A12),H12*(AVERAGE(I4:I12)+1))</f>
        <v>120665448.4</v>
      </c>
      <c r="I13" s="24">
        <f t="shared" si="20"/>
        <v>-0.005063295767</v>
      </c>
      <c r="J13" s="35">
        <f t="shared" si="2"/>
        <v>0.02435750557</v>
      </c>
      <c r="K13" s="36">
        <f>FORECAST(A13,K3:K12,A3:A12)</f>
        <v>1450755357143</v>
      </c>
      <c r="L13" s="21">
        <f t="shared" si="31"/>
        <v>1391067500000</v>
      </c>
      <c r="M13" s="21">
        <f>FORECAST(A13,M3:M12,$A3:$A12)</f>
        <v>-59687857143</v>
      </c>
      <c r="N13" s="24">
        <f t="shared" si="21"/>
        <v>0.03555406846</v>
      </c>
      <c r="O13" s="24">
        <f t="shared" si="4"/>
        <v>-0.01792441607</v>
      </c>
      <c r="P13" s="24">
        <f>AVERAGE(FORECAST($A13,P3:P12,$A3:$A12),P12*(AVERAGE(Q4:Q12)+1))</f>
        <v>0.5276865947</v>
      </c>
      <c r="Q13" s="24">
        <f t="shared" si="22"/>
        <v>-0.2059026848</v>
      </c>
      <c r="R13" s="21">
        <f t="shared" si="32"/>
        <v>1757183160425</v>
      </c>
      <c r="S13" s="24">
        <f>FORECAST($A13,S3:S12,$A3:$A12)</f>
        <v>0.02573214286</v>
      </c>
      <c r="T13" s="21">
        <f t="shared" si="6"/>
        <v>45216088110</v>
      </c>
      <c r="U13" s="24">
        <f t="shared" si="7"/>
        <v>0.01357850684</v>
      </c>
      <c r="V13" s="24">
        <f>FORECAST($A13,V3:V12,$A3:$A12)</f>
        <v>0.04571428571</v>
      </c>
      <c r="W13" s="21">
        <f t="shared" si="8"/>
        <v>27596.7564</v>
      </c>
      <c r="X13" s="21">
        <f t="shared" si="9"/>
        <v>26335.19039</v>
      </c>
      <c r="Y13" s="37">
        <f>AVERAGE(FORECAST($A13,Y3:Y12,$A3:$A12),Y12*(AVERAGE(Z4:Z12)+1))</f>
        <v>0.9526653317</v>
      </c>
      <c r="Z13" s="31">
        <f t="shared" si="23"/>
        <v>0.003985822007</v>
      </c>
      <c r="AA13" s="37">
        <f>AVERAGE(FORECAST($A13,AA3:AA12,$A3:$A12),AA12*(AVERAGE(AB4:AB12)+1))</f>
        <v>0.2627940545</v>
      </c>
      <c r="AB13" s="31">
        <f t="shared" si="24"/>
        <v>-0.02395044173</v>
      </c>
      <c r="AC13" s="37">
        <f t="shared" si="10"/>
        <v>0.6898712772</v>
      </c>
      <c r="AD13" s="27">
        <f t="shared" ref="AD13:AG13" si="36">AD12+($AH13-$AH12)/4</f>
        <v>0.1307963531</v>
      </c>
      <c r="AE13" s="27">
        <f t="shared" si="36"/>
        <v>0.1407963531</v>
      </c>
      <c r="AF13" s="27">
        <f t="shared" si="36"/>
        <v>0.1237963531</v>
      </c>
      <c r="AG13" s="27">
        <f t="shared" si="36"/>
        <v>0.07379635313</v>
      </c>
      <c r="AH13" s="24">
        <f t="shared" si="34"/>
        <v>0.4691854125</v>
      </c>
      <c r="AI13" s="38">
        <f t="shared" si="13"/>
        <v>0.4620399952</v>
      </c>
      <c r="AJ13" s="21">
        <f t="shared" si="14"/>
        <v>18167.89143</v>
      </c>
      <c r="AK13" s="30" t="str">
        <f t="shared" si="15"/>
        <v>C+</v>
      </c>
      <c r="AL13" s="30" t="str">
        <f t="shared" si="16"/>
        <v>0.46C+</v>
      </c>
    </row>
    <row r="14">
      <c r="A14" s="34">
        <v>2030.0</v>
      </c>
      <c r="B14" s="21">
        <f>AVERAGE(FORECAST($A14,B5:B13,$A5:$A13),B13*(AVERAGE(C6:C13)+1))</f>
        <v>141834754671550</v>
      </c>
      <c r="C14" s="24"/>
      <c r="D14" s="22">
        <f>AVERAGE(FORECAST($A14,D5:D13,$A5:$A13),D13*(AVERAGE(E6:E13)+1))</f>
        <v>8586617399</v>
      </c>
      <c r="E14" s="24"/>
      <c r="F14" s="21">
        <f>AVERAGE(FORECAST($A14,F5:F13,$A5:$A13),F13*(AVERAGE(G6:G13)+1))</f>
        <v>3163692913291</v>
      </c>
      <c r="H14" s="22">
        <f>AVERAGE(FORECAST($A14,H5:H13,$A5:$A13),H13*(AVERAGE(I6:I13)+1))</f>
        <v>120035819.3</v>
      </c>
      <c r="J14" s="35">
        <f t="shared" si="2"/>
        <v>0.02230548444</v>
      </c>
      <c r="K14" s="36">
        <f>FORECAST(A14,K3:K13,A3:A13)</f>
        <v>1514294285714</v>
      </c>
      <c r="L14" s="21">
        <f t="shared" si="31"/>
        <v>1452557142857</v>
      </c>
      <c r="M14" s="21">
        <f>FORECAST(A14,M3:M13,$A3:$A13)</f>
        <v>-61737142857</v>
      </c>
      <c r="N14" s="24">
        <f t="shared" si="21"/>
        <v>0.03433337721</v>
      </c>
      <c r="O14" s="24">
        <f t="shared" si="4"/>
        <v>-0.01951426531</v>
      </c>
      <c r="P14" s="24">
        <f>AVERAGE(FORECAST($A14,P3:P13,$A3:$A13),P13*(AVERAGE(Q4:Q13)+1))</f>
        <v>0.3783931381</v>
      </c>
      <c r="R14" s="21">
        <f t="shared" si="32"/>
        <v>1197119689323</v>
      </c>
      <c r="S14" s="24">
        <f>FORECAST($A14,S3:S13,$A3:$A13)</f>
        <v>0.02892857143</v>
      </c>
      <c r="T14" s="21">
        <f t="shared" si="6"/>
        <v>34630962441</v>
      </c>
      <c r="U14" s="24">
        <f t="shared" si="7"/>
        <v>0.01094637292</v>
      </c>
      <c r="V14" s="24">
        <f>FORECAST($A14,V3:V13,$A3:$A13)</f>
        <v>0.05007142857</v>
      </c>
      <c r="W14" s="21">
        <f t="shared" si="8"/>
        <v>26356.24042</v>
      </c>
      <c r="X14" s="21">
        <f t="shared" si="9"/>
        <v>25036.54581</v>
      </c>
      <c r="Y14" s="37">
        <f>AVERAGE(FORECAST($A14,Y3:Y13,$A3:$A13),Y13*(AVERAGE(Z4:Z13)+1))</f>
        <v>0.9564822066</v>
      </c>
      <c r="AA14" s="37">
        <f>AVERAGE(FORECAST($A14,AA3:AA13,$A3:$A13),AA13*(AVERAGE(AB4:AB13)+1))</f>
        <v>0.256609987</v>
      </c>
      <c r="AC14" s="37">
        <f t="shared" si="10"/>
        <v>0.6998722196</v>
      </c>
      <c r="AD14" s="27">
        <f t="shared" ref="AD14:AG14" si="37">AD13+($AH14-$AH13)/4</f>
        <v>0.1366611708</v>
      </c>
      <c r="AE14" s="27">
        <f t="shared" si="37"/>
        <v>0.1466611708</v>
      </c>
      <c r="AF14" s="27">
        <f t="shared" si="37"/>
        <v>0.1296611708</v>
      </c>
      <c r="AG14" s="27">
        <f t="shared" si="37"/>
        <v>0.07966117078</v>
      </c>
      <c r="AH14" s="24">
        <f t="shared" si="34"/>
        <v>0.4926446831</v>
      </c>
      <c r="AI14" s="38">
        <f t="shared" si="13"/>
        <v>0.4844895293</v>
      </c>
      <c r="AJ14" s="21">
        <f t="shared" si="14"/>
        <v>17522.38289</v>
      </c>
      <c r="AK14" s="30" t="str">
        <f t="shared" si="15"/>
        <v>C+</v>
      </c>
      <c r="AL14" s="30" t="str">
        <f t="shared" si="16"/>
        <v>0.48C+</v>
      </c>
    </row>
  </sheetData>
  <mergeCells count="1">
    <mergeCell ref="B1:AL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3" width="15.88"/>
    <col customWidth="1" min="14" max="14" width="23.63"/>
    <col customWidth="1" min="15" max="15" width="18.38"/>
    <col customWidth="1" min="17" max="17" width="18.5"/>
    <col customWidth="1" min="18" max="18" width="19.13"/>
    <col customWidth="1" min="20" max="20" width="14.38"/>
    <col customWidth="1" min="21" max="21" width="20.5"/>
    <col customWidth="1" min="36" max="36" width="19.88"/>
    <col customWidth="1" min="37" max="37" width="16.88"/>
  </cols>
  <sheetData>
    <row r="1">
      <c r="A1" s="1" t="s">
        <v>88</v>
      </c>
      <c r="B1" s="18" t="s">
        <v>120</v>
      </c>
      <c r="AM1" s="18"/>
      <c r="AN1" s="18"/>
      <c r="AO1" s="18"/>
      <c r="AP1" s="18"/>
      <c r="AQ1" s="18"/>
      <c r="AR1" s="18"/>
    </row>
    <row r="2">
      <c r="A2" s="1" t="s">
        <v>90</v>
      </c>
      <c r="B2" s="1" t="s">
        <v>20</v>
      </c>
      <c r="C2" s="1" t="s">
        <v>91</v>
      </c>
      <c r="D2" s="1" t="s">
        <v>92</v>
      </c>
      <c r="E2" s="1" t="s">
        <v>93</v>
      </c>
      <c r="F2" s="1" t="s">
        <v>19</v>
      </c>
      <c r="G2" s="1" t="s">
        <v>94</v>
      </c>
      <c r="H2" s="1" t="s">
        <v>95</v>
      </c>
      <c r="I2" s="1" t="s">
        <v>96</v>
      </c>
      <c r="J2" s="19" t="s">
        <v>97</v>
      </c>
      <c r="K2" s="1" t="s">
        <v>98</v>
      </c>
      <c r="L2" s="1" t="s">
        <v>99</v>
      </c>
      <c r="M2" s="1" t="s">
        <v>100</v>
      </c>
      <c r="N2" s="1" t="s">
        <v>101</v>
      </c>
      <c r="O2" s="19" t="s">
        <v>102</v>
      </c>
      <c r="P2" s="1" t="s">
        <v>103</v>
      </c>
      <c r="Q2" s="1" t="s">
        <v>104</v>
      </c>
      <c r="R2" s="1" t="s">
        <v>105</v>
      </c>
      <c r="S2" s="1" t="s">
        <v>106</v>
      </c>
      <c r="T2" s="1" t="s">
        <v>107</v>
      </c>
      <c r="U2" s="19" t="s">
        <v>108</v>
      </c>
      <c r="V2" s="1" t="s">
        <v>25</v>
      </c>
      <c r="W2" s="1" t="s">
        <v>109</v>
      </c>
      <c r="X2" s="19" t="s">
        <v>5</v>
      </c>
      <c r="Y2" s="1" t="s">
        <v>29</v>
      </c>
      <c r="Z2" s="1" t="s">
        <v>110</v>
      </c>
      <c r="AA2" s="1" t="s">
        <v>30</v>
      </c>
      <c r="AB2" s="1" t="s">
        <v>111</v>
      </c>
      <c r="AC2" s="19" t="s">
        <v>9</v>
      </c>
      <c r="AD2" s="1" t="s">
        <v>112</v>
      </c>
      <c r="AE2" s="1" t="s">
        <v>113</v>
      </c>
      <c r="AF2" s="1" t="s">
        <v>114</v>
      </c>
      <c r="AG2" s="1" t="s">
        <v>115</v>
      </c>
      <c r="AH2" s="19" t="s">
        <v>116</v>
      </c>
      <c r="AI2" s="20" t="s">
        <v>117</v>
      </c>
      <c r="AJ2" s="20" t="s">
        <v>2</v>
      </c>
      <c r="AK2" s="1" t="s">
        <v>118</v>
      </c>
      <c r="AL2" s="1" t="s">
        <v>119</v>
      </c>
      <c r="AM2" s="1"/>
      <c r="AN2" s="1"/>
      <c r="AO2" s="1"/>
      <c r="AP2" s="1"/>
      <c r="AQ2" s="1"/>
      <c r="AR2" s="1"/>
    </row>
    <row r="3">
      <c r="A3" s="1">
        <v>2019.0</v>
      </c>
      <c r="B3" s="21">
        <f>87.7*1000000000000</f>
        <v>87700000000000</v>
      </c>
      <c r="C3" s="21"/>
      <c r="D3" s="22">
        <f>7.81*10^9</f>
        <v>7810000000</v>
      </c>
      <c r="E3" s="22"/>
      <c r="F3" s="21">
        <f>14.56*10^12</f>
        <v>14560000000000</v>
      </c>
      <c r="G3" s="21"/>
      <c r="H3" s="22">
        <f t="shared" ref="H3:H8" si="2">1.41*10^9</f>
        <v>1410000000</v>
      </c>
      <c r="I3" s="22"/>
      <c r="J3" s="23">
        <f t="shared" ref="J3:J14" si="3">F3/B3</f>
        <v>0.1660205245</v>
      </c>
      <c r="K3" s="21">
        <f>2.5*10^12</f>
        <v>2500000000000</v>
      </c>
      <c r="L3" s="21">
        <f>2.63*10^12</f>
        <v>2630000000000</v>
      </c>
      <c r="M3" s="21">
        <f t="shared" ref="M3:M9" si="4">L3-K3</f>
        <v>130000000000</v>
      </c>
      <c r="N3" s="24"/>
      <c r="O3" s="23">
        <f t="shared" ref="O3:O14" si="5">M3/F3</f>
        <v>0.008928571429</v>
      </c>
      <c r="P3" s="31">
        <v>0.594</v>
      </c>
      <c r="Q3" s="24"/>
      <c r="R3" s="21">
        <f t="shared" ref="R3:R8" si="6">P3*F3</f>
        <v>8648640000000</v>
      </c>
      <c r="S3" s="31">
        <v>0.0415</v>
      </c>
      <c r="T3" s="21">
        <f t="shared" ref="T3:T14" si="7">R3*S3</f>
        <v>358918560000</v>
      </c>
      <c r="U3" s="23">
        <f t="shared" ref="U3:U14" si="8">T3/F3</f>
        <v>0.024651</v>
      </c>
      <c r="V3" s="31">
        <v>0.029</v>
      </c>
      <c r="W3" s="21">
        <f t="shared" ref="W3:W14" si="9">F3/H3</f>
        <v>10326.24113</v>
      </c>
      <c r="X3" s="25">
        <f t="shared" ref="X3:X14" si="10">W3*(1-V3)</f>
        <v>10026.78014</v>
      </c>
      <c r="Y3" s="43">
        <v>0.76</v>
      </c>
      <c r="Z3" s="3"/>
      <c r="AA3" s="41">
        <v>0.382</v>
      </c>
      <c r="AB3" s="3"/>
      <c r="AC3" s="26">
        <f t="shared" ref="AC3:AC14" si="11">Y3-AA3</f>
        <v>0.378</v>
      </c>
      <c r="AD3" s="27">
        <f t="shared" ref="AD3:AG3" si="1">AD4+($AH3-$AH4)/4</f>
        <v>0.2847009944</v>
      </c>
      <c r="AE3" s="27">
        <f t="shared" si="1"/>
        <v>0.03470099443</v>
      </c>
      <c r="AF3" s="27">
        <f t="shared" si="1"/>
        <v>0.06770099443</v>
      </c>
      <c r="AG3" s="27">
        <f t="shared" si="1"/>
        <v>0.004700994426</v>
      </c>
      <c r="AH3" s="23">
        <f t="shared" ref="AH3:AH8" si="13">AH4*95%</f>
        <v>0.3918039777</v>
      </c>
      <c r="AI3" s="39">
        <f t="shared" ref="AI3:AI14" si="14">AH3+J3+O3-U3</f>
        <v>0.5421020736</v>
      </c>
      <c r="AJ3" s="29">
        <f t="shared" ref="AJ3:AJ14" si="15">X3*AC3</f>
        <v>3790.122894</v>
      </c>
      <c r="AK3" s="30" t="str">
        <f t="shared" ref="AK3:AK14" si="16">IFS(
AJ3&lt;=2500,"D-",
AJ3&lt;=5000,"D",
AJ3&lt;=10000,"D+",
AJ3&lt;=12500,"C-",
AJ3&lt;=15000,"C",
AJ3&lt;=20000,"C+",
AJ3&lt;=25000,"B-",
AJ3&lt;=30000,"B",
AJ3&lt;=35000,"B+",
AJ3&lt;=40000,"A-",
AJ3&lt;=50000,"A",
AJ3&lt;=100000,"A+",
TRUE,"Out of range"
)
</f>
        <v>D</v>
      </c>
      <c r="AL3" s="30" t="str">
        <f t="shared" ref="AL3:AL14" si="17">CONCAT(ROUND(AI3,2),AK3)</f>
        <v>0.54D</v>
      </c>
    </row>
    <row r="4">
      <c r="A4" s="1">
        <v>2020.0</v>
      </c>
      <c r="B4" s="21">
        <f>84.75*1000000000000</f>
        <v>84750000000000</v>
      </c>
      <c r="C4" s="24">
        <f t="shared" ref="C4:C13" si="18">(B4-B3)/B3</f>
        <v>-0.03363740023</v>
      </c>
      <c r="D4" s="22">
        <f>7.89*10^9</f>
        <v>7890000000</v>
      </c>
      <c r="E4" s="24">
        <f t="shared" ref="E4:E13" si="19">(D4-D3)/D3</f>
        <v>0.01024327785</v>
      </c>
      <c r="F4" s="21">
        <f>15*10^12</f>
        <v>15000000000000</v>
      </c>
      <c r="G4" s="24">
        <f t="shared" ref="G4:G13" si="20">(F4-F3)/F3</f>
        <v>0.03021978022</v>
      </c>
      <c r="H4" s="22">
        <f t="shared" si="2"/>
        <v>1410000000</v>
      </c>
      <c r="I4" s="24">
        <f t="shared" ref="I4:I13" si="21">(H4-H3)/H3</f>
        <v>0</v>
      </c>
      <c r="J4" s="23">
        <f t="shared" si="3"/>
        <v>0.1769911504</v>
      </c>
      <c r="K4" s="33">
        <f>2.37*10^12</f>
        <v>2370000000000</v>
      </c>
      <c r="L4" s="21">
        <f>2.73*10^12</f>
        <v>2730000000000</v>
      </c>
      <c r="M4" s="21">
        <f t="shared" si="4"/>
        <v>360000000000</v>
      </c>
      <c r="N4" s="24">
        <f t="shared" ref="N4:N14" si="22">(M4-M3)/M3</f>
        <v>1.769230769</v>
      </c>
      <c r="O4" s="23">
        <f t="shared" si="5"/>
        <v>0.024</v>
      </c>
      <c r="P4" s="31">
        <v>0.69</v>
      </c>
      <c r="Q4" s="24">
        <f t="shared" ref="Q4:Q13" si="23">(P4-P3)/P3</f>
        <v>0.1616161616</v>
      </c>
      <c r="R4" s="21">
        <f t="shared" si="6"/>
        <v>10350000000000</v>
      </c>
      <c r="S4" s="31">
        <v>0.038</v>
      </c>
      <c r="T4" s="21">
        <f t="shared" si="7"/>
        <v>393300000000</v>
      </c>
      <c r="U4" s="23">
        <f t="shared" si="8"/>
        <v>0.02622</v>
      </c>
      <c r="V4" s="31">
        <v>0.024</v>
      </c>
      <c r="W4" s="21">
        <f t="shared" si="9"/>
        <v>10638.29787</v>
      </c>
      <c r="X4" s="25">
        <f t="shared" si="10"/>
        <v>10382.97872</v>
      </c>
      <c r="Y4" s="43">
        <v>0.77</v>
      </c>
      <c r="Z4" s="31">
        <f t="shared" ref="Z4:Z13" si="24">(Y4-Y3)/Y3</f>
        <v>0.01315789474</v>
      </c>
      <c r="AA4" s="41">
        <f>0.371</f>
        <v>0.371</v>
      </c>
      <c r="AB4" s="31">
        <f t="shared" ref="AB4:AB13" si="25">(AA4-AA3)/AA4</f>
        <v>-0.02964959569</v>
      </c>
      <c r="AC4" s="26">
        <f t="shared" si="11"/>
        <v>0.399</v>
      </c>
      <c r="AD4" s="27">
        <f t="shared" ref="AD4:AG4" si="12">AD5+($AH4-$AH5)/4</f>
        <v>0.2898563099</v>
      </c>
      <c r="AE4" s="27">
        <f t="shared" si="12"/>
        <v>0.03985630992</v>
      </c>
      <c r="AF4" s="27">
        <f t="shared" si="12"/>
        <v>0.07285630992</v>
      </c>
      <c r="AG4" s="27">
        <f t="shared" si="12"/>
        <v>0.009856309922</v>
      </c>
      <c r="AH4" s="23">
        <f t="shared" si="13"/>
        <v>0.4124252397</v>
      </c>
      <c r="AI4" s="39">
        <f t="shared" si="14"/>
        <v>0.5871963901</v>
      </c>
      <c r="AJ4" s="29">
        <f t="shared" si="15"/>
        <v>4142.808511</v>
      </c>
      <c r="AK4" s="30" t="str">
        <f t="shared" si="16"/>
        <v>D</v>
      </c>
      <c r="AL4" s="30" t="str">
        <f t="shared" si="17"/>
        <v>0.59D</v>
      </c>
    </row>
    <row r="5">
      <c r="A5" s="1">
        <v>2021.0</v>
      </c>
      <c r="B5" s="21">
        <f>96.14*1000000000000</f>
        <v>96140000000000</v>
      </c>
      <c r="C5" s="24">
        <f t="shared" si="18"/>
        <v>0.1343952802</v>
      </c>
      <c r="D5" s="22">
        <f>7.95*10^9</f>
        <v>7950000000</v>
      </c>
      <c r="E5" s="24">
        <f t="shared" si="19"/>
        <v>0.007604562738</v>
      </c>
      <c r="F5" s="21">
        <f>18.2*10^12</f>
        <v>18200000000000</v>
      </c>
      <c r="G5" s="24">
        <f t="shared" si="20"/>
        <v>0.2133333333</v>
      </c>
      <c r="H5" s="22">
        <f t="shared" si="2"/>
        <v>1410000000</v>
      </c>
      <c r="I5" s="24">
        <f t="shared" si="21"/>
        <v>0</v>
      </c>
      <c r="J5" s="23">
        <f t="shared" si="3"/>
        <v>0.1893072602</v>
      </c>
      <c r="K5" s="33">
        <f>3.09*10^12</f>
        <v>3090000000000</v>
      </c>
      <c r="L5" s="33">
        <f>3.55*10^12</f>
        <v>3550000000000</v>
      </c>
      <c r="M5" s="21">
        <f t="shared" si="4"/>
        <v>460000000000</v>
      </c>
      <c r="N5" s="24">
        <f t="shared" si="22"/>
        <v>0.2777777778</v>
      </c>
      <c r="O5" s="23">
        <f t="shared" si="5"/>
        <v>0.02527472527</v>
      </c>
      <c r="P5" s="31">
        <v>0.701</v>
      </c>
      <c r="Q5" s="24">
        <f t="shared" si="23"/>
        <v>0.01594202899</v>
      </c>
      <c r="R5" s="21">
        <f t="shared" si="6"/>
        <v>12758200000000</v>
      </c>
      <c r="S5" s="31">
        <v>0.0385</v>
      </c>
      <c r="T5" s="21">
        <f t="shared" si="7"/>
        <v>491190700000</v>
      </c>
      <c r="U5" s="23">
        <f t="shared" si="8"/>
        <v>0.0269885</v>
      </c>
      <c r="V5" s="31">
        <v>0.01</v>
      </c>
      <c r="W5" s="21">
        <f t="shared" si="9"/>
        <v>12907.80142</v>
      </c>
      <c r="X5" s="25">
        <f t="shared" si="10"/>
        <v>12778.7234</v>
      </c>
      <c r="Y5" s="43">
        <v>0.79</v>
      </c>
      <c r="Z5" s="31">
        <f t="shared" si="24"/>
        <v>0.02597402597</v>
      </c>
      <c r="AA5" s="41">
        <v>0.357</v>
      </c>
      <c r="AB5" s="31">
        <f t="shared" si="25"/>
        <v>-0.03921568627</v>
      </c>
      <c r="AC5" s="26">
        <f t="shared" si="11"/>
        <v>0.433</v>
      </c>
      <c r="AD5" s="27">
        <f t="shared" ref="AD5:AG5" si="26">AD6+($AH5-$AH6)/4</f>
        <v>0.2952829578</v>
      </c>
      <c r="AE5" s="27">
        <f t="shared" si="26"/>
        <v>0.04528295781</v>
      </c>
      <c r="AF5" s="27">
        <f t="shared" si="26"/>
        <v>0.07828295781</v>
      </c>
      <c r="AG5" s="27">
        <f t="shared" si="26"/>
        <v>0.01528295781</v>
      </c>
      <c r="AH5" s="23">
        <f t="shared" si="13"/>
        <v>0.4341318313</v>
      </c>
      <c r="AI5" s="39">
        <f t="shared" si="14"/>
        <v>0.6217253168</v>
      </c>
      <c r="AJ5" s="29">
        <f t="shared" si="15"/>
        <v>5533.187234</v>
      </c>
      <c r="AK5" s="30" t="str">
        <f t="shared" si="16"/>
        <v>D+</v>
      </c>
      <c r="AL5" s="30" t="str">
        <f t="shared" si="17"/>
        <v>0.62D+</v>
      </c>
    </row>
    <row r="6">
      <c r="A6" s="1">
        <v>2022.0</v>
      </c>
      <c r="B6" s="21">
        <f>101.56*1000000000000</f>
        <v>101560000000000</v>
      </c>
      <c r="C6" s="24">
        <f t="shared" si="18"/>
        <v>0.05637611816</v>
      </c>
      <c r="D6" s="22">
        <f>8.02*10^9</f>
        <v>8020000000</v>
      </c>
      <c r="E6" s="24">
        <f t="shared" si="19"/>
        <v>0.008805031447</v>
      </c>
      <c r="F6" s="21">
        <f>18.32*10^12</f>
        <v>18320000000000</v>
      </c>
      <c r="G6" s="24">
        <f t="shared" si="20"/>
        <v>0.006593406593</v>
      </c>
      <c r="H6" s="22">
        <f t="shared" si="2"/>
        <v>1410000000</v>
      </c>
      <c r="I6" s="24">
        <f t="shared" si="21"/>
        <v>0</v>
      </c>
      <c r="J6" s="23">
        <f t="shared" si="3"/>
        <v>0.1803859787</v>
      </c>
      <c r="K6" s="33">
        <f>3.14*10^12</f>
        <v>3140000000000</v>
      </c>
      <c r="L6" s="21">
        <f>3.72*10^12</f>
        <v>3720000000000</v>
      </c>
      <c r="M6" s="21">
        <f t="shared" si="4"/>
        <v>580000000000</v>
      </c>
      <c r="N6" s="24">
        <f t="shared" si="22"/>
        <v>0.2608695652</v>
      </c>
      <c r="O6" s="23">
        <f t="shared" si="5"/>
        <v>0.03165938865</v>
      </c>
      <c r="P6" s="31">
        <v>0.755</v>
      </c>
      <c r="Q6" s="24">
        <f t="shared" si="23"/>
        <v>0.07703281027</v>
      </c>
      <c r="R6" s="21">
        <f t="shared" si="6"/>
        <v>13831600000000</v>
      </c>
      <c r="S6" s="31">
        <v>0.0365</v>
      </c>
      <c r="T6" s="21">
        <f t="shared" si="7"/>
        <v>504853400000</v>
      </c>
      <c r="U6" s="23">
        <f t="shared" si="8"/>
        <v>0.0275575</v>
      </c>
      <c r="V6" s="31">
        <v>0.02</v>
      </c>
      <c r="W6" s="21">
        <f t="shared" si="9"/>
        <v>12992.9078</v>
      </c>
      <c r="X6" s="25">
        <f t="shared" si="10"/>
        <v>12733.04965</v>
      </c>
      <c r="Y6" s="43">
        <v>0.79</v>
      </c>
      <c r="Z6" s="31">
        <f t="shared" si="24"/>
        <v>0</v>
      </c>
      <c r="AA6" s="41">
        <v>0.36</v>
      </c>
      <c r="AB6" s="31">
        <f t="shared" si="25"/>
        <v>0.008333333333</v>
      </c>
      <c r="AC6" s="26">
        <f t="shared" si="11"/>
        <v>0.43</v>
      </c>
      <c r="AD6" s="27">
        <f t="shared" ref="AD6:AG6" si="27">AD7+($AH6-$AH7)/4</f>
        <v>0.3009952188</v>
      </c>
      <c r="AE6" s="27">
        <f t="shared" si="27"/>
        <v>0.05099521875</v>
      </c>
      <c r="AF6" s="27">
        <f t="shared" si="27"/>
        <v>0.08399521875</v>
      </c>
      <c r="AG6" s="27">
        <f t="shared" si="27"/>
        <v>0.02099521875</v>
      </c>
      <c r="AH6" s="23">
        <f t="shared" si="13"/>
        <v>0.456980875</v>
      </c>
      <c r="AI6" s="39">
        <f t="shared" si="14"/>
        <v>0.6414687424</v>
      </c>
      <c r="AJ6" s="29">
        <f t="shared" si="15"/>
        <v>5475.211348</v>
      </c>
      <c r="AK6" s="30" t="str">
        <f t="shared" si="16"/>
        <v>D+</v>
      </c>
      <c r="AL6" s="30" t="str">
        <f t="shared" si="17"/>
        <v>0.64D+</v>
      </c>
    </row>
    <row r="7">
      <c r="A7" s="1">
        <v>2023.0</v>
      </c>
      <c r="B7" s="21">
        <f>106.8*1000000000000</f>
        <v>106800000000000</v>
      </c>
      <c r="C7" s="24">
        <f t="shared" si="18"/>
        <v>0.05159511619</v>
      </c>
      <c r="D7" s="32">
        <f>8.09*10^9</f>
        <v>8090000000</v>
      </c>
      <c r="E7" s="24">
        <f t="shared" si="19"/>
        <v>0.008728179551</v>
      </c>
      <c r="F7" s="21">
        <f>18.27*10^12</f>
        <v>18270000000000</v>
      </c>
      <c r="G7" s="24">
        <f t="shared" si="20"/>
        <v>-0.002729257642</v>
      </c>
      <c r="H7" s="22">
        <f t="shared" si="2"/>
        <v>1410000000</v>
      </c>
      <c r="I7" s="24">
        <f t="shared" si="21"/>
        <v>0</v>
      </c>
      <c r="J7" s="23">
        <f t="shared" si="3"/>
        <v>0.1710674157</v>
      </c>
      <c r="K7" s="21">
        <f>3.11*10^12</f>
        <v>3110000000000</v>
      </c>
      <c r="L7" s="21">
        <f>3.49*10^12</f>
        <v>3490000000000</v>
      </c>
      <c r="M7" s="21">
        <f t="shared" si="4"/>
        <v>380000000000</v>
      </c>
      <c r="N7" s="24">
        <f t="shared" si="22"/>
        <v>-0.3448275862</v>
      </c>
      <c r="O7" s="23">
        <f t="shared" si="5"/>
        <v>0.02079912425</v>
      </c>
      <c r="P7" s="31">
        <v>0.82</v>
      </c>
      <c r="Q7" s="24">
        <f t="shared" si="23"/>
        <v>0.08609271523</v>
      </c>
      <c r="R7" s="21">
        <f t="shared" si="6"/>
        <v>14981400000000</v>
      </c>
      <c r="S7" s="31">
        <v>0.0345</v>
      </c>
      <c r="T7" s="21">
        <f t="shared" si="7"/>
        <v>516858300000</v>
      </c>
      <c r="U7" s="23">
        <f t="shared" si="8"/>
        <v>0.02829</v>
      </c>
      <c r="V7" s="31">
        <v>0.002</v>
      </c>
      <c r="W7" s="21">
        <f t="shared" si="9"/>
        <v>12957.44681</v>
      </c>
      <c r="X7" s="25">
        <f t="shared" si="10"/>
        <v>12931.53191</v>
      </c>
      <c r="Y7" s="43">
        <v>0.8</v>
      </c>
      <c r="Z7" s="31">
        <f t="shared" si="24"/>
        <v>0.01265822785</v>
      </c>
      <c r="AA7" s="42">
        <f>AVERAGE(AA6,AA9)</f>
        <v>0.3585</v>
      </c>
      <c r="AB7" s="31">
        <f t="shared" si="25"/>
        <v>-0.004184100418</v>
      </c>
      <c r="AC7" s="26">
        <f t="shared" si="11"/>
        <v>0.4415</v>
      </c>
      <c r="AD7" s="27">
        <f t="shared" ref="AD7:AG7" si="28">AD8+($AH7-$AH8)/4</f>
        <v>0.307008125</v>
      </c>
      <c r="AE7" s="27">
        <f t="shared" si="28"/>
        <v>0.057008125</v>
      </c>
      <c r="AF7" s="27">
        <f t="shared" si="28"/>
        <v>0.090008125</v>
      </c>
      <c r="AG7" s="27">
        <f t="shared" si="28"/>
        <v>0.027008125</v>
      </c>
      <c r="AH7" s="23">
        <f t="shared" si="13"/>
        <v>0.4810325</v>
      </c>
      <c r="AI7" s="39">
        <f t="shared" si="14"/>
        <v>0.64460904</v>
      </c>
      <c r="AJ7" s="29">
        <f t="shared" si="15"/>
        <v>5709.27134</v>
      </c>
      <c r="AK7" s="30" t="str">
        <f t="shared" si="16"/>
        <v>D+</v>
      </c>
      <c r="AL7" s="30" t="str">
        <f t="shared" si="17"/>
        <v>0.64D+</v>
      </c>
    </row>
    <row r="8">
      <c r="A8" s="1">
        <v>2024.0</v>
      </c>
      <c r="B8" s="21">
        <f>112.6*1000000000000</f>
        <v>112600000000000</v>
      </c>
      <c r="C8" s="24">
        <f t="shared" si="18"/>
        <v>0.0543071161</v>
      </c>
      <c r="D8" s="32">
        <v>8.161972572E9</v>
      </c>
      <c r="E8" s="24">
        <f t="shared" si="19"/>
        <v>0.008896486032</v>
      </c>
      <c r="F8" s="21">
        <f>18.74*10^12</f>
        <v>18740000000000</v>
      </c>
      <c r="G8" s="24">
        <f t="shared" si="20"/>
        <v>0.02572523262</v>
      </c>
      <c r="H8" s="22">
        <f t="shared" si="2"/>
        <v>1410000000</v>
      </c>
      <c r="I8" s="24">
        <f t="shared" si="21"/>
        <v>0</v>
      </c>
      <c r="J8" s="23">
        <f t="shared" si="3"/>
        <v>0.1664298401</v>
      </c>
      <c r="K8" s="21">
        <f>3.22*10^12</f>
        <v>3220000000000</v>
      </c>
      <c r="L8" s="21">
        <f>3.75*10^12</f>
        <v>3750000000000</v>
      </c>
      <c r="M8" s="21">
        <f t="shared" si="4"/>
        <v>530000000000</v>
      </c>
      <c r="N8" s="24">
        <f t="shared" si="22"/>
        <v>0.3947368421</v>
      </c>
      <c r="O8" s="23">
        <f t="shared" si="5"/>
        <v>0.02828175027</v>
      </c>
      <c r="P8" s="31">
        <v>0.883</v>
      </c>
      <c r="Q8" s="24">
        <f t="shared" si="23"/>
        <v>0.07682926829</v>
      </c>
      <c r="R8" s="21">
        <f t="shared" si="6"/>
        <v>16547420000000</v>
      </c>
      <c r="S8" s="31">
        <v>0.031</v>
      </c>
      <c r="T8" s="21">
        <f t="shared" si="7"/>
        <v>512970020000</v>
      </c>
      <c r="U8" s="23">
        <f t="shared" si="8"/>
        <v>0.027373</v>
      </c>
      <c r="V8" s="31">
        <v>0.002</v>
      </c>
      <c r="W8" s="21">
        <f t="shared" si="9"/>
        <v>13290.78014</v>
      </c>
      <c r="X8" s="25">
        <f t="shared" si="10"/>
        <v>13264.19858</v>
      </c>
      <c r="Y8" s="44">
        <f>AVERAGE(Y7,Y9)</f>
        <v>0.7985</v>
      </c>
      <c r="Z8" s="31">
        <f t="shared" si="24"/>
        <v>-0.001875</v>
      </c>
      <c r="AA8" s="42">
        <f>AVERAGE(AA7,AA9)</f>
        <v>0.35775</v>
      </c>
      <c r="AB8" s="31">
        <f t="shared" si="25"/>
        <v>-0.002096436059</v>
      </c>
      <c r="AC8" s="26">
        <f t="shared" si="11"/>
        <v>0.44075</v>
      </c>
      <c r="AD8" s="27">
        <f t="shared" ref="AD8:AG8" si="29">AD9+($AH8-$AH9)/4</f>
        <v>0.3133375</v>
      </c>
      <c r="AE8" s="27">
        <f t="shared" si="29"/>
        <v>0.0633375</v>
      </c>
      <c r="AF8" s="27">
        <f t="shared" si="29"/>
        <v>0.0963375</v>
      </c>
      <c r="AG8" s="27">
        <f t="shared" si="29"/>
        <v>0.0333375</v>
      </c>
      <c r="AH8" s="23">
        <f t="shared" si="13"/>
        <v>0.50635</v>
      </c>
      <c r="AI8" s="39">
        <f t="shared" si="14"/>
        <v>0.6736885904</v>
      </c>
      <c r="AJ8" s="29">
        <f t="shared" si="15"/>
        <v>5846.195525</v>
      </c>
      <c r="AK8" s="30" t="str">
        <f t="shared" si="16"/>
        <v>D+</v>
      </c>
      <c r="AL8" s="30" t="str">
        <f t="shared" si="17"/>
        <v>0.67D+</v>
      </c>
    </row>
    <row r="9">
      <c r="A9" s="1">
        <v>2025.0</v>
      </c>
      <c r="B9" s="33">
        <v>1.13795678E14</v>
      </c>
      <c r="C9" s="24">
        <f t="shared" si="18"/>
        <v>0.01061880995</v>
      </c>
      <c r="D9" s="32">
        <v>8.23161307E9</v>
      </c>
      <c r="E9" s="24">
        <f t="shared" si="19"/>
        <v>0.008532312181</v>
      </c>
      <c r="F9" s="33">
        <v>1.9232E13</v>
      </c>
      <c r="G9" s="24">
        <f t="shared" si="20"/>
        <v>0.02625400213</v>
      </c>
      <c r="H9" s="32">
        <v>1.408E9</v>
      </c>
      <c r="I9" s="24">
        <f t="shared" si="21"/>
        <v>-0.001418439716</v>
      </c>
      <c r="J9" s="23">
        <f t="shared" si="3"/>
        <v>0.1690046611</v>
      </c>
      <c r="K9" s="33">
        <f>3.12*10^12</f>
        <v>3120000000000</v>
      </c>
      <c r="L9" s="33">
        <f>4.12*10^12</f>
        <v>4120000000000</v>
      </c>
      <c r="M9" s="33">
        <f t="shared" si="4"/>
        <v>1000000000000</v>
      </c>
      <c r="N9" s="24">
        <f t="shared" si="22"/>
        <v>0.8867924528</v>
      </c>
      <c r="O9" s="23">
        <f t="shared" si="5"/>
        <v>0.05199667221</v>
      </c>
      <c r="P9" s="24">
        <f>R9/F9</f>
        <v>0.824</v>
      </c>
      <c r="Q9" s="24">
        <f t="shared" si="23"/>
        <v>-0.06681766704</v>
      </c>
      <c r="R9" s="33">
        <v>1.5847168E13</v>
      </c>
      <c r="S9" s="31">
        <v>0.03</v>
      </c>
      <c r="T9" s="21">
        <f t="shared" si="7"/>
        <v>475415040000</v>
      </c>
      <c r="U9" s="23">
        <f t="shared" si="8"/>
        <v>0.02472</v>
      </c>
      <c r="V9" s="31">
        <v>0.0153</v>
      </c>
      <c r="W9" s="21">
        <f t="shared" si="9"/>
        <v>13659.09091</v>
      </c>
      <c r="X9" s="25">
        <f t="shared" si="10"/>
        <v>13450.10682</v>
      </c>
      <c r="Y9" s="43">
        <v>0.797</v>
      </c>
      <c r="Z9" s="31">
        <f t="shared" si="24"/>
        <v>-0.001878522229</v>
      </c>
      <c r="AA9" s="41">
        <v>0.357</v>
      </c>
      <c r="AB9" s="31">
        <f t="shared" si="25"/>
        <v>-0.002100840336</v>
      </c>
      <c r="AC9" s="26">
        <f t="shared" si="11"/>
        <v>0.44</v>
      </c>
      <c r="AD9" s="31">
        <v>0.32</v>
      </c>
      <c r="AE9" s="31">
        <v>0.07</v>
      </c>
      <c r="AF9" s="31">
        <v>0.103</v>
      </c>
      <c r="AG9" s="31">
        <v>0.04</v>
      </c>
      <c r="AH9" s="23">
        <f>SUM(AD9:AG9)</f>
        <v>0.533</v>
      </c>
      <c r="AI9" s="39">
        <f t="shared" si="14"/>
        <v>0.7292813334</v>
      </c>
      <c r="AJ9" s="29">
        <f t="shared" si="15"/>
        <v>5918.047</v>
      </c>
      <c r="AK9" s="30" t="str">
        <f t="shared" si="16"/>
        <v>D+</v>
      </c>
      <c r="AL9" s="30" t="str">
        <f t="shared" si="17"/>
        <v>0.73D+</v>
      </c>
    </row>
    <row r="10">
      <c r="A10" s="34">
        <v>2026.0</v>
      </c>
      <c r="B10" s="21">
        <f>AVERAGE(FORECAST(A10,B3:B9,$A$3:$A$9),B9*(AVERAGE(C4:C9)+1))</f>
        <v>120063810405112</v>
      </c>
      <c r="C10" s="24">
        <f t="shared" si="18"/>
        <v>0.05508234157</v>
      </c>
      <c r="D10" s="22">
        <f>AVERAGE(FORECAST(A10,D3:D9,$A$3:$A$9),D9*(AVERAGE(E4:E9)+1))</f>
        <v>8302201675</v>
      </c>
      <c r="E10" s="24">
        <f t="shared" si="19"/>
        <v>0.008575306441</v>
      </c>
      <c r="F10" s="21">
        <f>AVERAGE(FORECAST(A10,F3:F9,$A$3:$A$9),F9*(AVERAGE(G4:G9)+1))</f>
        <v>20373547071991</v>
      </c>
      <c r="G10" s="24">
        <f t="shared" si="20"/>
        <v>0.05935664892</v>
      </c>
      <c r="H10" s="22">
        <f>AVERAGE(FORECAST(A10,H3:H9,$A$3:$A$9),H9*(AVERAGE(I4:I9)+1))</f>
        <v>1408262141</v>
      </c>
      <c r="I10" s="24">
        <f t="shared" si="21"/>
        <v>0.0001861798072</v>
      </c>
      <c r="J10" s="35">
        <f t="shared" si="3"/>
        <v>0.1696893261</v>
      </c>
      <c r="K10" s="36">
        <f>FORECAST(A10,K3:K9,A3:A9)</f>
        <v>3447142857143</v>
      </c>
      <c r="L10" s="36">
        <f t="shared" ref="L10:L14" si="31">K10+M10</f>
        <v>4348571428571</v>
      </c>
      <c r="M10" s="21">
        <f>FORECAST(A10,M3:M9,$A$3:$A$9)</f>
        <v>901428571429</v>
      </c>
      <c r="N10" s="24">
        <f t="shared" si="22"/>
        <v>-0.09857142857</v>
      </c>
      <c r="O10" s="24">
        <f t="shared" si="5"/>
        <v>0.04424504816</v>
      </c>
      <c r="P10" s="24">
        <f>AVERAGE(FORECAST(A10,P3:P9,$A$3:$A$9),P9*(AVERAGE(Q4:Q9)+1))</f>
        <v>0.897652507</v>
      </c>
      <c r="Q10" s="24">
        <f t="shared" si="23"/>
        <v>0.08938411047</v>
      </c>
      <c r="R10" s="21">
        <f t="shared" ref="R10:R14" si="32">P10*F10</f>
        <v>18288365606260</v>
      </c>
      <c r="S10" s="24">
        <f>FORECAST(A10,S3:S9,$A$3:$A$9)</f>
        <v>0.02821428571</v>
      </c>
      <c r="T10" s="21">
        <f t="shared" si="7"/>
        <v>515993172462</v>
      </c>
      <c r="U10" s="24">
        <f t="shared" si="8"/>
        <v>0.02532662431</v>
      </c>
      <c r="V10" s="24">
        <f>FORECAST(A10,V3:V9,$A$3:$A$9)</f>
        <v>0.001314285714</v>
      </c>
      <c r="W10" s="21">
        <f t="shared" si="9"/>
        <v>14467.15528</v>
      </c>
      <c r="X10" s="21">
        <f t="shared" si="10"/>
        <v>14448.14131</v>
      </c>
      <c r="Y10" s="37">
        <f>AVERAGE(FORECAST(A10,Y3:Y9,$A$3:$A$9),Y9*(AVERAGE(Z4:Z9)+1))</f>
        <v>0.8076547183</v>
      </c>
      <c r="Z10" s="31">
        <f t="shared" si="24"/>
        <v>0.01336852988</v>
      </c>
      <c r="AA10" s="38">
        <f>AVERAGE(FORECAST(A10,AA3:AA9,$A$3:$A$9),AA9*(AVERAGE(AB4:AB9)+1))</f>
        <v>0.3509676857</v>
      </c>
      <c r="AB10" s="31">
        <f t="shared" si="25"/>
        <v>-0.01718766295</v>
      </c>
      <c r="AC10" s="37">
        <f t="shared" si="11"/>
        <v>0.4566870326</v>
      </c>
      <c r="AD10" s="27">
        <f t="shared" ref="AD10:AG10" si="30">AD9+($AH10-$AH9)/4</f>
        <v>0.3266625</v>
      </c>
      <c r="AE10" s="27">
        <f t="shared" si="30"/>
        <v>0.0766625</v>
      </c>
      <c r="AF10" s="27">
        <f t="shared" si="30"/>
        <v>0.1096625</v>
      </c>
      <c r="AG10" s="27">
        <f t="shared" si="30"/>
        <v>0.0466625</v>
      </c>
      <c r="AH10" s="24">
        <f t="shared" ref="AH10:AH14" si="34">AH9*1.05</f>
        <v>0.55965</v>
      </c>
      <c r="AI10" s="38">
        <f t="shared" si="14"/>
        <v>0.7482577499</v>
      </c>
      <c r="AJ10" s="21">
        <f t="shared" si="15"/>
        <v>6598.278779</v>
      </c>
      <c r="AK10" s="30" t="str">
        <f t="shared" si="16"/>
        <v>D+</v>
      </c>
      <c r="AL10" s="30" t="str">
        <f t="shared" si="17"/>
        <v>0.75D+</v>
      </c>
    </row>
    <row r="11">
      <c r="A11" s="34">
        <v>2027.0</v>
      </c>
      <c r="B11" s="21">
        <f>AVERAGE(FORECAST($A11,B3:B10,$A3:$A10),B10*(AVERAGE(C4:C10)+1))</f>
        <v>125735541889780</v>
      </c>
      <c r="C11" s="24">
        <f t="shared" si="18"/>
        <v>0.04723930938</v>
      </c>
      <c r="D11" s="22">
        <f>AVERAGE(FORECAST($A11,D3:D10,$A3:$A10),D10*(AVERAGE(E4:E10)+1))</f>
        <v>8372937901</v>
      </c>
      <c r="E11" s="24">
        <f t="shared" si="19"/>
        <v>0.008520176861</v>
      </c>
      <c r="F11" s="21">
        <f>AVERAGE(FORECAST($A11,F3:F10,$A3:$A10),F10*(AVERAGE(G4:G10)+1))</f>
        <v>21326201311915</v>
      </c>
      <c r="G11" s="24">
        <f t="shared" si="20"/>
        <v>0.0467593707</v>
      </c>
      <c r="H11" s="22">
        <f>AVERAGE(FORECAST($A11,H3:H10,$A3:$A10),H10*(AVERAGE(I4:I10)+1))</f>
        <v>1408179796</v>
      </c>
      <c r="I11" s="24">
        <f t="shared" si="21"/>
        <v>-0.00005847323826</v>
      </c>
      <c r="J11" s="35">
        <f t="shared" si="3"/>
        <v>0.1696115592</v>
      </c>
      <c r="K11" s="36">
        <f>FORECAST(A11,K3:K10,A3:A10)</f>
        <v>3575000000000</v>
      </c>
      <c r="L11" s="21">
        <f t="shared" si="31"/>
        <v>4578928571429</v>
      </c>
      <c r="M11" s="21">
        <f>FORECAST(A11,M3:M10,$A3:$A10)</f>
        <v>1003928571429</v>
      </c>
      <c r="N11" s="24">
        <f t="shared" si="22"/>
        <v>0.1137083994</v>
      </c>
      <c r="O11" s="24">
        <f t="shared" si="5"/>
        <v>0.04707488956</v>
      </c>
      <c r="P11" s="24">
        <f>AVERAGE(FORECAST($A11,P3:P10,$A3:$A10),P10*(AVERAGE(Q4:Q10)+1))</f>
        <v>0.953581409</v>
      </c>
      <c r="Q11" s="24">
        <f t="shared" si="23"/>
        <v>0.06230573802</v>
      </c>
      <c r="R11" s="21">
        <f t="shared" si="32"/>
        <v>20336269094859</v>
      </c>
      <c r="S11" s="24">
        <f>FORECAST($A11,S3:S10,$A3:$A10)</f>
        <v>0.02633928571</v>
      </c>
      <c r="T11" s="21">
        <f t="shared" si="7"/>
        <v>535642802052</v>
      </c>
      <c r="U11" s="24">
        <f t="shared" si="8"/>
        <v>0.02511665318</v>
      </c>
      <c r="V11" s="24">
        <f>FORECAST($A11,V3:V10,$A3:$A10)</f>
        <v>-0.002010714286</v>
      </c>
      <c r="W11" s="21">
        <f t="shared" si="9"/>
        <v>15144.51591</v>
      </c>
      <c r="X11" s="21">
        <f t="shared" si="10"/>
        <v>15174.9672</v>
      </c>
      <c r="Y11" s="37">
        <f>AVERAGE(FORECAST($A11,Y3:Y10,$A3:$A10),Y10*(AVERAGE(Z4:Z10)+1))</f>
        <v>0.8154441933</v>
      </c>
      <c r="Z11" s="31">
        <f t="shared" si="24"/>
        <v>0.009644560759</v>
      </c>
      <c r="AA11" s="38">
        <f>AVERAGE(FORECAST($A11,AA3:AA10,$A3:$A10),AA10*(AVERAGE(AB4:AB10)+1))</f>
        <v>0.3465405025</v>
      </c>
      <c r="AB11" s="31">
        <f t="shared" si="25"/>
        <v>-0.01277537014</v>
      </c>
      <c r="AC11" s="37">
        <f t="shared" si="11"/>
        <v>0.4689036908</v>
      </c>
      <c r="AD11" s="27">
        <f t="shared" ref="AD11:AG11" si="33">AD10+($AH11-$AH10)/4</f>
        <v>0.333658125</v>
      </c>
      <c r="AE11" s="27">
        <f t="shared" si="33"/>
        <v>0.083658125</v>
      </c>
      <c r="AF11" s="27">
        <f t="shared" si="33"/>
        <v>0.116658125</v>
      </c>
      <c r="AG11" s="27">
        <f t="shared" si="33"/>
        <v>0.053658125</v>
      </c>
      <c r="AH11" s="24">
        <f t="shared" si="34"/>
        <v>0.5876325</v>
      </c>
      <c r="AI11" s="38">
        <f t="shared" si="14"/>
        <v>0.7792022956</v>
      </c>
      <c r="AJ11" s="21">
        <f t="shared" si="15"/>
        <v>7115.598128</v>
      </c>
      <c r="AK11" s="30" t="str">
        <f t="shared" si="16"/>
        <v>D+</v>
      </c>
      <c r="AL11" s="30" t="str">
        <f t="shared" si="17"/>
        <v>0.78D+</v>
      </c>
    </row>
    <row r="12">
      <c r="A12" s="34">
        <v>2028.0</v>
      </c>
      <c r="B12" s="21">
        <f>AVERAGE(FORECAST($A12,B3:B11,$A3:$A11),B11*(AVERAGE(C4:C11)+1))</f>
        <v>131237442252096</v>
      </c>
      <c r="C12" s="24">
        <f t="shared" si="18"/>
        <v>0.04375771782</v>
      </c>
      <c r="D12" s="22">
        <f>AVERAGE(FORECAST($A12,D3:D11,$A3:$A11),D11*(AVERAGE(E4:E11)+1))</f>
        <v>8443822776</v>
      </c>
      <c r="E12" s="24">
        <f t="shared" si="19"/>
        <v>0.008465950178</v>
      </c>
      <c r="F12" s="21">
        <f>AVERAGE(FORECAST($A12,F3:F11,$A3:$A11),F11*(AVERAGE(G4:G11)+1))</f>
        <v>22218816211356</v>
      </c>
      <c r="G12" s="24">
        <f t="shared" si="20"/>
        <v>0.04185531621</v>
      </c>
      <c r="H12" s="22">
        <f>AVERAGE(FORECAST($A12,H3:H11,$A3:$A11),H11*(AVERAGE(I4:I11)+1))</f>
        <v>1407980251</v>
      </c>
      <c r="I12" s="24">
        <f t="shared" si="21"/>
        <v>-0.0001417038585</v>
      </c>
      <c r="J12" s="35">
        <f t="shared" si="3"/>
        <v>0.1693024173</v>
      </c>
      <c r="K12" s="36">
        <f>FORECAST(A12,K3:K11,A3:A11)</f>
        <v>3702857142857</v>
      </c>
      <c r="L12" s="21">
        <f t="shared" si="31"/>
        <v>4809285714286</v>
      </c>
      <c r="M12" s="21">
        <f>FORECAST(A12,M3:M11,$A3:$A11)</f>
        <v>1106428571429</v>
      </c>
      <c r="N12" s="24">
        <f t="shared" si="22"/>
        <v>0.1020988972</v>
      </c>
      <c r="O12" s="24">
        <f t="shared" si="5"/>
        <v>0.04979691811</v>
      </c>
      <c r="P12" s="24">
        <f>AVERAGE(FORECAST($A12,P3:P11,$A3:$A11),P11*(AVERAGE(Q4:Q11)+1))</f>
        <v>1.003659848</v>
      </c>
      <c r="Q12" s="24">
        <f t="shared" si="23"/>
        <v>0.05251616538</v>
      </c>
      <c r="R12" s="21">
        <f t="shared" si="32"/>
        <v>22300133700131</v>
      </c>
      <c r="S12" s="24">
        <f>FORECAST($A12,S3:S11,$A3:$A11)</f>
        <v>0.02446428571</v>
      </c>
      <c r="T12" s="21">
        <f t="shared" si="7"/>
        <v>545556842307</v>
      </c>
      <c r="U12" s="24">
        <f t="shared" si="8"/>
        <v>0.02455382128</v>
      </c>
      <c r="V12" s="24">
        <f>FORECAST($A12,V3:V11,$A3:$A11)</f>
        <v>-0.005335714286</v>
      </c>
      <c r="W12" s="21">
        <f t="shared" si="9"/>
        <v>15780.63058</v>
      </c>
      <c r="X12" s="21">
        <f t="shared" si="10"/>
        <v>15864.83152</v>
      </c>
      <c r="Y12" s="37">
        <f>AVERAGE(FORECAST($A12,Y3:Y11,$A3:$A11),Y11*(AVERAGE(Z4:Z11)+1))</f>
        <v>0.8222614756</v>
      </c>
      <c r="Z12" s="31">
        <f t="shared" si="24"/>
        <v>0.008360207096</v>
      </c>
      <c r="AA12" s="37">
        <f>AVERAGE(FORECAST($A12,AA3:AA11,$A3:$A11),AA11*(AVERAGE(AB4:AB11)+1))</f>
        <v>0.3426631259</v>
      </c>
      <c r="AB12" s="31">
        <f t="shared" si="25"/>
        <v>-0.01131541846</v>
      </c>
      <c r="AC12" s="37">
        <f t="shared" si="11"/>
        <v>0.4795983498</v>
      </c>
      <c r="AD12" s="27">
        <f t="shared" ref="AD12:AG12" si="35">AD11+($AH12-$AH11)/4</f>
        <v>0.3410035313</v>
      </c>
      <c r="AE12" s="27">
        <f t="shared" si="35"/>
        <v>0.09100353125</v>
      </c>
      <c r="AF12" s="27">
        <f t="shared" si="35"/>
        <v>0.1240035313</v>
      </c>
      <c r="AG12" s="27">
        <f t="shared" si="35"/>
        <v>0.06100353125</v>
      </c>
      <c r="AH12" s="24">
        <f t="shared" si="34"/>
        <v>0.617014125</v>
      </c>
      <c r="AI12" s="38">
        <f t="shared" si="14"/>
        <v>0.8115596391</v>
      </c>
      <c r="AJ12" s="21">
        <f t="shared" si="15"/>
        <v>7608.747017</v>
      </c>
      <c r="AK12" s="30" t="str">
        <f t="shared" si="16"/>
        <v>D+</v>
      </c>
      <c r="AL12" s="30" t="str">
        <f t="shared" si="17"/>
        <v>0.81D+</v>
      </c>
    </row>
    <row r="13">
      <c r="A13" s="34">
        <v>2029.0</v>
      </c>
      <c r="B13" s="21">
        <f>AVERAGE(FORECAST($A13,B3:B12,$A3:$A12),B12*(AVERAGE(C4:C12)+1))</f>
        <v>136712479650225</v>
      </c>
      <c r="C13" s="24">
        <f t="shared" si="18"/>
        <v>0.0417185622</v>
      </c>
      <c r="D13" s="22">
        <f>AVERAGE(FORECAST($A13,D3:D12,$A3:$A12),D12*(AVERAGE(E4:E12)+1))</f>
        <v>8514849364</v>
      </c>
      <c r="E13" s="24">
        <f t="shared" si="19"/>
        <v>0.008411662476</v>
      </c>
      <c r="F13" s="21">
        <f>AVERAGE(FORECAST($A13,F3:F12,$A3:$A12),F12*(AVERAGE(G4:G12)+1))</f>
        <v>23095099157431</v>
      </c>
      <c r="G13" s="24">
        <f t="shared" si="20"/>
        <v>0.03943877737</v>
      </c>
      <c r="H13" s="22">
        <f>AVERAGE(FORECAST($A13,H3:H12,$A3:$A12),H12*(AVERAGE(I4:I12)+1))</f>
        <v>1407739047</v>
      </c>
      <c r="I13" s="24">
        <f t="shared" si="21"/>
        <v>-0.0001713121055</v>
      </c>
      <c r="J13" s="35">
        <f t="shared" si="3"/>
        <v>0.1689319016</v>
      </c>
      <c r="K13" s="36">
        <f>FORECAST(A13,K3:K12,A3:A12)</f>
        <v>3830714285714</v>
      </c>
      <c r="L13" s="21">
        <f t="shared" si="31"/>
        <v>5039642857143</v>
      </c>
      <c r="M13" s="21">
        <f>FORECAST(A13,M3:M12,$A3:$A12)</f>
        <v>1208928571429</v>
      </c>
      <c r="N13" s="24">
        <f t="shared" si="22"/>
        <v>0.09264041317</v>
      </c>
      <c r="O13" s="24">
        <f t="shared" si="5"/>
        <v>0.05234567573</v>
      </c>
      <c r="P13" s="24">
        <f>AVERAGE(FORECAST($A13,P3:P12,$A3:$A12),P12*(AVERAGE(Q4:Q12)+1))</f>
        <v>1.05195314</v>
      </c>
      <c r="Q13" s="24">
        <f t="shared" si="23"/>
        <v>0.0481171901</v>
      </c>
      <c r="R13" s="21">
        <f t="shared" si="32"/>
        <v>24294962068990</v>
      </c>
      <c r="S13" s="24">
        <f>FORECAST($A13,S3:S12,$A3:$A12)</f>
        <v>0.02258928571</v>
      </c>
      <c r="T13" s="21">
        <f t="shared" si="7"/>
        <v>548805839594</v>
      </c>
      <c r="U13" s="24">
        <f t="shared" si="8"/>
        <v>0.02376287003</v>
      </c>
      <c r="V13" s="24">
        <f>FORECAST($A13,V3:V12,$A3:$A12)</f>
        <v>-0.008660714286</v>
      </c>
      <c r="W13" s="21">
        <f t="shared" si="9"/>
        <v>16405.80987</v>
      </c>
      <c r="X13" s="21">
        <f t="shared" si="10"/>
        <v>16547.89591</v>
      </c>
      <c r="Y13" s="37">
        <f>AVERAGE(FORECAST($A13,Y3:Y12,$A3:$A12),Y12*(AVERAGE(Z4:Z12)+1))</f>
        <v>0.8287385677</v>
      </c>
      <c r="Z13" s="31">
        <f t="shared" si="24"/>
        <v>0.007877168313</v>
      </c>
      <c r="AA13" s="37">
        <f>AVERAGE(FORECAST($A13,AA3:AA12,$A3:$A12),AA12*(AVERAGE(AB4:AB12)+1))</f>
        <v>0.3389855934</v>
      </c>
      <c r="AB13" s="31">
        <f t="shared" si="25"/>
        <v>-0.01084863953</v>
      </c>
      <c r="AC13" s="37">
        <f t="shared" si="11"/>
        <v>0.4897529743</v>
      </c>
      <c r="AD13" s="27">
        <f t="shared" ref="AD13:AG13" si="36">AD12+($AH13-$AH12)/4</f>
        <v>0.3487162078</v>
      </c>
      <c r="AE13" s="27">
        <f t="shared" si="36"/>
        <v>0.09871620781</v>
      </c>
      <c r="AF13" s="27">
        <f t="shared" si="36"/>
        <v>0.1317162078</v>
      </c>
      <c r="AG13" s="27">
        <f t="shared" si="36"/>
        <v>0.06871620781</v>
      </c>
      <c r="AH13" s="24">
        <f t="shared" si="34"/>
        <v>0.6478648313</v>
      </c>
      <c r="AI13" s="38">
        <f t="shared" si="14"/>
        <v>0.8453795385</v>
      </c>
      <c r="AJ13" s="21">
        <f t="shared" si="15"/>
        <v>8104.381239</v>
      </c>
      <c r="AK13" s="30" t="str">
        <f t="shared" si="16"/>
        <v>D+</v>
      </c>
      <c r="AL13" s="30" t="str">
        <f t="shared" si="17"/>
        <v>0.85D+</v>
      </c>
    </row>
    <row r="14">
      <c r="A14" s="34">
        <v>2030.0</v>
      </c>
      <c r="B14" s="21">
        <f>AVERAGE(FORECAST($A14,B5:B13,$A5:$A13),B13*(AVERAGE(C6:C13)+1))</f>
        <v>141834754671550</v>
      </c>
      <c r="C14" s="24"/>
      <c r="D14" s="22">
        <f>AVERAGE(FORECAST($A14,D5:D13,$A5:$A13),D13*(AVERAGE(E6:E13)+1))</f>
        <v>8586617399</v>
      </c>
      <c r="E14" s="24"/>
      <c r="F14" s="21">
        <f>AVERAGE(FORECAST($A14,F5:F13,$A5:$A13),F13*(AVERAGE(G6:G13)+1))</f>
        <v>23512158970811</v>
      </c>
      <c r="H14" s="22">
        <f>AVERAGE(FORECAST($A14,H5:H13,$A5:$A13),H13*(AVERAGE(I6:I13)+1))</f>
        <v>1407328433</v>
      </c>
      <c r="J14" s="35">
        <f t="shared" si="3"/>
        <v>0.1657714925</v>
      </c>
      <c r="K14" s="36">
        <f>FORECAST(A14,K3:K13,A3:A13)</f>
        <v>3958571428571</v>
      </c>
      <c r="L14" s="21">
        <f t="shared" si="31"/>
        <v>5270000000000</v>
      </c>
      <c r="M14" s="21">
        <f>FORECAST(A14,M3:M13,$A3:$A13)</f>
        <v>1311428571429</v>
      </c>
      <c r="N14" s="24">
        <f t="shared" si="22"/>
        <v>0.08478581979</v>
      </c>
      <c r="O14" s="24">
        <f t="shared" si="5"/>
        <v>0.05577661214</v>
      </c>
      <c r="P14" s="24">
        <f>AVERAGE(FORECAST($A14,P3:P13,$A3:$A13),P13*(AVERAGE(Q4:Q13)+1))</f>
        <v>1.099908454</v>
      </c>
      <c r="R14" s="21">
        <f t="shared" si="32"/>
        <v>25861222423396</v>
      </c>
      <c r="S14" s="24">
        <f>FORECAST($A14,S3:S13,$A3:$A13)</f>
        <v>0.02071428571</v>
      </c>
      <c r="T14" s="21">
        <f t="shared" si="7"/>
        <v>535696750199</v>
      </c>
      <c r="U14" s="24">
        <f t="shared" si="8"/>
        <v>0.02278381798</v>
      </c>
      <c r="V14" s="24">
        <f>FORECAST($A14,V3:V13,$A3:$A13)</f>
        <v>-0.01198571429</v>
      </c>
      <c r="W14" s="21">
        <f t="shared" si="9"/>
        <v>16706.94517</v>
      </c>
      <c r="X14" s="21">
        <f t="shared" si="10"/>
        <v>16907.18984</v>
      </c>
      <c r="Y14" s="37">
        <f>AVERAGE(FORECAST($A14,Y3:Y13,$A3:$A13),Y13*(AVERAGE(Z4:Z13)+1))</f>
        <v>0.8350965296</v>
      </c>
      <c r="AA14" s="37">
        <f>AVERAGE(FORECAST($A14,AA3:AA13,$A3:$A13),AA13*(AVERAGE(AB4:AB13)+1))</f>
        <v>0.3353862178</v>
      </c>
      <c r="AC14" s="37">
        <f t="shared" si="11"/>
        <v>0.4997103119</v>
      </c>
      <c r="AD14" s="27">
        <f t="shared" ref="AD14:AG14" si="37">AD13+($AH14-$AH13)/4</f>
        <v>0.3568145182</v>
      </c>
      <c r="AE14" s="27">
        <f t="shared" si="37"/>
        <v>0.1068145182</v>
      </c>
      <c r="AF14" s="27">
        <f t="shared" si="37"/>
        <v>0.1398145182</v>
      </c>
      <c r="AG14" s="27">
        <f t="shared" si="37"/>
        <v>0.0768145182</v>
      </c>
      <c r="AH14" s="24">
        <f t="shared" si="34"/>
        <v>0.6802580728</v>
      </c>
      <c r="AI14" s="38">
        <f t="shared" si="14"/>
        <v>0.8790223595</v>
      </c>
      <c r="AJ14" s="21">
        <f t="shared" si="15"/>
        <v>8448.69711</v>
      </c>
      <c r="AK14" s="30" t="str">
        <f t="shared" si="16"/>
        <v>D+</v>
      </c>
      <c r="AL14" s="30" t="str">
        <f t="shared" si="17"/>
        <v>0.88D+</v>
      </c>
    </row>
  </sheetData>
  <mergeCells count="1">
    <mergeCell ref="B1:AL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23.63"/>
    <col customWidth="1" min="15" max="15" width="18.38"/>
    <col customWidth="1" min="17" max="17" width="18.5"/>
    <col customWidth="1" min="18" max="18" width="16.75"/>
    <col customWidth="1" min="20" max="20" width="14.38"/>
    <col customWidth="1" min="21" max="21" width="20.5"/>
    <col customWidth="1" min="36" max="36" width="19.88"/>
    <col customWidth="1" min="37" max="37" width="16.88"/>
  </cols>
  <sheetData>
    <row r="1">
      <c r="A1" s="1" t="s">
        <v>88</v>
      </c>
      <c r="B1" s="18" t="s">
        <v>120</v>
      </c>
      <c r="AM1" s="18"/>
      <c r="AN1" s="18"/>
      <c r="AO1" s="18"/>
      <c r="AP1" s="18"/>
      <c r="AQ1" s="18"/>
      <c r="AR1" s="18"/>
    </row>
    <row r="2">
      <c r="A2" s="1" t="s">
        <v>90</v>
      </c>
      <c r="B2" s="1" t="s">
        <v>20</v>
      </c>
      <c r="C2" s="1" t="s">
        <v>91</v>
      </c>
      <c r="D2" s="1" t="s">
        <v>92</v>
      </c>
      <c r="E2" s="1" t="s">
        <v>93</v>
      </c>
      <c r="F2" s="1" t="s">
        <v>19</v>
      </c>
      <c r="G2" s="1" t="s">
        <v>94</v>
      </c>
      <c r="H2" s="1" t="s">
        <v>95</v>
      </c>
      <c r="I2" s="1" t="s">
        <v>96</v>
      </c>
      <c r="J2" s="19" t="s">
        <v>97</v>
      </c>
      <c r="K2" s="1" t="s">
        <v>98</v>
      </c>
      <c r="L2" s="1" t="s">
        <v>99</v>
      </c>
      <c r="M2" s="1" t="s">
        <v>100</v>
      </c>
      <c r="N2" s="1" t="s">
        <v>101</v>
      </c>
      <c r="O2" s="19" t="s">
        <v>102</v>
      </c>
      <c r="P2" s="1" t="s">
        <v>103</v>
      </c>
      <c r="Q2" s="1" t="s">
        <v>104</v>
      </c>
      <c r="R2" s="1" t="s">
        <v>105</v>
      </c>
      <c r="S2" s="1" t="s">
        <v>106</v>
      </c>
      <c r="T2" s="1" t="s">
        <v>107</v>
      </c>
      <c r="U2" s="19" t="s">
        <v>108</v>
      </c>
      <c r="V2" s="1" t="s">
        <v>25</v>
      </c>
      <c r="W2" s="1" t="s">
        <v>109</v>
      </c>
      <c r="X2" s="19" t="s">
        <v>5</v>
      </c>
      <c r="Y2" s="1" t="s">
        <v>29</v>
      </c>
      <c r="Z2" s="1" t="s">
        <v>110</v>
      </c>
      <c r="AA2" s="1" t="s">
        <v>30</v>
      </c>
      <c r="AB2" s="1" t="s">
        <v>111</v>
      </c>
      <c r="AC2" s="19" t="s">
        <v>9</v>
      </c>
      <c r="AD2" s="1" t="s">
        <v>112</v>
      </c>
      <c r="AE2" s="1" t="s">
        <v>113</v>
      </c>
      <c r="AF2" s="1" t="s">
        <v>114</v>
      </c>
      <c r="AG2" s="1" t="s">
        <v>115</v>
      </c>
      <c r="AH2" s="19" t="s">
        <v>116</v>
      </c>
      <c r="AI2" s="20" t="s">
        <v>117</v>
      </c>
      <c r="AJ2" s="20" t="s">
        <v>2</v>
      </c>
      <c r="AK2" s="1" t="s">
        <v>118</v>
      </c>
      <c r="AL2" s="1" t="s">
        <v>119</v>
      </c>
      <c r="AM2" s="1"/>
      <c r="AN2" s="1"/>
      <c r="AO2" s="1"/>
      <c r="AP2" s="1"/>
      <c r="AQ2" s="1"/>
      <c r="AR2" s="1"/>
    </row>
    <row r="3">
      <c r="A3" s="1">
        <v>2019.0</v>
      </c>
      <c r="B3" s="21">
        <f>87.7*1000000000000</f>
        <v>87700000000000</v>
      </c>
      <c r="C3" s="21"/>
      <c r="D3" s="22">
        <f>7.81*10^9</f>
        <v>7810000000</v>
      </c>
      <c r="E3" s="22"/>
      <c r="F3" s="21">
        <f>3.96*10^12</f>
        <v>3960000000000</v>
      </c>
      <c r="G3" s="21"/>
      <c r="H3" s="32">
        <v>8.3092962E7</v>
      </c>
      <c r="I3" s="22"/>
      <c r="J3" s="23">
        <f t="shared" ref="J3:J14" si="2">F3/B3</f>
        <v>0.04515393387</v>
      </c>
      <c r="K3" s="21">
        <f>1.45*10^12</f>
        <v>1450000000000</v>
      </c>
      <c r="L3" s="21">
        <f>1.68*10^12</f>
        <v>1680000000000</v>
      </c>
      <c r="M3" s="21">
        <f t="shared" ref="M3:M9" si="3">L3-K3</f>
        <v>230000000000</v>
      </c>
      <c r="N3" s="24"/>
      <c r="O3" s="23">
        <f t="shared" ref="O3:O14" si="4">M3/F3</f>
        <v>0.05808080808</v>
      </c>
      <c r="P3" s="31">
        <v>0.3722</v>
      </c>
      <c r="Q3" s="24"/>
      <c r="R3" s="21">
        <f t="shared" ref="R3:R8" si="5">P3*F3</f>
        <v>1473912000000</v>
      </c>
      <c r="S3" s="31">
        <v>0.001</v>
      </c>
      <c r="T3" s="21">
        <f t="shared" ref="T3:T14" si="6">R3*S3</f>
        <v>1473912000</v>
      </c>
      <c r="U3" s="23">
        <f t="shared" ref="U3:U14" si="7">T3/F3</f>
        <v>0.0003722</v>
      </c>
      <c r="V3" s="31">
        <v>0.014</v>
      </c>
      <c r="W3" s="21">
        <f t="shared" ref="W3:W14" si="8">F3/H3</f>
        <v>47657.46586</v>
      </c>
      <c r="X3" s="25">
        <f t="shared" ref="X3:X14" si="9">W3*(1-V3)</f>
        <v>46990.26134</v>
      </c>
      <c r="Y3" s="3">
        <v>0.94</v>
      </c>
      <c r="Z3" s="3"/>
      <c r="AA3" s="41">
        <v>0.297</v>
      </c>
      <c r="AB3" s="3"/>
      <c r="AC3" s="26">
        <f t="shared" ref="AC3:AC14" si="10">Y3-AA3</f>
        <v>0.643</v>
      </c>
      <c r="AD3" s="27">
        <f t="shared" ref="AD3:AG3" si="1">AD4+($AH3-$AH4)/4</f>
        <v>0.1699991566</v>
      </c>
      <c r="AE3" s="27">
        <f t="shared" si="1"/>
        <v>0.09799915661</v>
      </c>
      <c r="AF3" s="27">
        <f t="shared" si="1"/>
        <v>0.04999915661</v>
      </c>
      <c r="AG3" s="27">
        <f t="shared" si="1"/>
        <v>0.01499915661</v>
      </c>
      <c r="AH3" s="23">
        <f t="shared" ref="AH3:AH8" si="12">AH4*95%</f>
        <v>0.3329966265</v>
      </c>
      <c r="AI3" s="39">
        <f t="shared" ref="AI3:AI14" si="13">AH3+J3+O3-U3</f>
        <v>0.4358591684</v>
      </c>
      <c r="AJ3" s="29">
        <f t="shared" ref="AJ3:AJ14" si="14">X3*AC3</f>
        <v>30214.73804</v>
      </c>
      <c r="AK3" s="30" t="str">
        <f t="shared" ref="AK3:AK14" si="15">IFS(
AJ3&lt;=2500,"D-",
AJ3&lt;=5000,"D",
AJ3&lt;=10000,"D+",
AJ3&lt;=12500,"C-",
AJ3&lt;=15000,"C",
AJ3&lt;=20000,"C+",
AJ3&lt;=25000,"B-",
AJ3&lt;=30000,"B",
AJ3&lt;=35000,"B+",
AJ3&lt;=40000,"A-",
AJ3&lt;=50000,"A",
AJ3&lt;=100000,"A+",
TRUE,"Out of range"
)
</f>
        <v>B+</v>
      </c>
      <c r="AL3" s="30" t="str">
        <f t="shared" ref="AL3:AL14" si="16">CONCAT(ROUND(AI3,2),AK3)</f>
        <v>0.44B+</v>
      </c>
    </row>
    <row r="4">
      <c r="A4" s="1">
        <v>2020.0</v>
      </c>
      <c r="B4" s="21">
        <f>84.75*1000000000000</f>
        <v>84750000000000</v>
      </c>
      <c r="C4" s="24">
        <f t="shared" ref="C4:C13" si="17">(B4-B3)/B3</f>
        <v>-0.03363740023</v>
      </c>
      <c r="D4" s="22">
        <f>7.89*10^9</f>
        <v>7890000000</v>
      </c>
      <c r="E4" s="24">
        <f t="shared" ref="E4:E13" si="18">(D4-D3)/D3</f>
        <v>0.01024327785</v>
      </c>
      <c r="F4" s="21">
        <f>3.94*10^12</f>
        <v>3940000000000</v>
      </c>
      <c r="G4" s="24">
        <f t="shared" ref="G4:G13" si="19">(F4-F3)/F3</f>
        <v>-0.005050505051</v>
      </c>
      <c r="H4" s="32">
        <v>8.3160871E7</v>
      </c>
      <c r="I4" s="24">
        <f t="shared" ref="I4:I13" si="20">(H4-H3)/H3</f>
        <v>0.000817265366</v>
      </c>
      <c r="J4" s="23">
        <f t="shared" si="2"/>
        <v>0.04648967552</v>
      </c>
      <c r="K4" s="33">
        <f>1.33*10^12</f>
        <v>1330000000000</v>
      </c>
      <c r="L4" s="21">
        <f>1.54*10^12</f>
        <v>1540000000000</v>
      </c>
      <c r="M4" s="21">
        <f t="shared" si="3"/>
        <v>210000000000</v>
      </c>
      <c r="N4" s="24">
        <f t="shared" ref="N4:N14" si="21">(M4-M3)/M3</f>
        <v>-0.08695652174</v>
      </c>
      <c r="O4" s="23">
        <f t="shared" si="4"/>
        <v>0.05329949239</v>
      </c>
      <c r="P4" s="31">
        <v>0.4436</v>
      </c>
      <c r="Q4" s="24">
        <f t="shared" ref="Q4:Q13" si="22">(P4-P3)/P3</f>
        <v>0.1918323482</v>
      </c>
      <c r="R4" s="21">
        <f t="shared" si="5"/>
        <v>1747784000000</v>
      </c>
      <c r="S4" s="31">
        <v>0.001</v>
      </c>
      <c r="T4" s="21">
        <f t="shared" si="6"/>
        <v>1747784000</v>
      </c>
      <c r="U4" s="23">
        <f t="shared" si="7"/>
        <v>0.0004436</v>
      </c>
      <c r="V4" s="31">
        <v>0.001</v>
      </c>
      <c r="W4" s="21">
        <f t="shared" si="8"/>
        <v>47378.05115</v>
      </c>
      <c r="X4" s="25">
        <f t="shared" si="9"/>
        <v>47330.6731</v>
      </c>
      <c r="Y4" s="3">
        <v>0.94</v>
      </c>
      <c r="Z4" s="31">
        <f t="shared" ref="Z4:Z13" si="23">(Y4-Y3)/Y3</f>
        <v>0</v>
      </c>
      <c r="AA4" s="41">
        <f>0.305</f>
        <v>0.305</v>
      </c>
      <c r="AB4" s="31">
        <f t="shared" ref="AB4:AB13" si="24">(AA4-AA3)/AA4</f>
        <v>0.0262295082</v>
      </c>
      <c r="AC4" s="26">
        <f t="shared" si="10"/>
        <v>0.635</v>
      </c>
      <c r="AD4" s="27">
        <f t="shared" ref="AD4:AG4" si="11">AD5+($AH4-$AH5)/4</f>
        <v>0.1743806912</v>
      </c>
      <c r="AE4" s="27">
        <f t="shared" si="11"/>
        <v>0.1023806912</v>
      </c>
      <c r="AF4" s="27">
        <f t="shared" si="11"/>
        <v>0.05438069117</v>
      </c>
      <c r="AG4" s="27">
        <f t="shared" si="11"/>
        <v>0.01938069117</v>
      </c>
      <c r="AH4" s="23">
        <f t="shared" si="12"/>
        <v>0.3505227647</v>
      </c>
      <c r="AI4" s="39">
        <f t="shared" si="13"/>
        <v>0.4498683326</v>
      </c>
      <c r="AJ4" s="29">
        <f t="shared" si="14"/>
        <v>30054.97742</v>
      </c>
      <c r="AK4" s="30" t="str">
        <f t="shared" si="15"/>
        <v>B+</v>
      </c>
      <c r="AL4" s="30" t="str">
        <f t="shared" si="16"/>
        <v>0.45B+</v>
      </c>
    </row>
    <row r="5">
      <c r="A5" s="1">
        <v>2021.0</v>
      </c>
      <c r="B5" s="21">
        <f>96.14*1000000000000</f>
        <v>96140000000000</v>
      </c>
      <c r="C5" s="24">
        <f t="shared" si="17"/>
        <v>0.1343952802</v>
      </c>
      <c r="D5" s="22">
        <f>7.95*10^9</f>
        <v>7950000000</v>
      </c>
      <c r="E5" s="24">
        <f t="shared" si="18"/>
        <v>0.007604562738</v>
      </c>
      <c r="F5" s="21">
        <f>4.36*10^12</f>
        <v>4360000000000</v>
      </c>
      <c r="G5" s="24">
        <f t="shared" si="19"/>
        <v>0.1065989848</v>
      </c>
      <c r="H5" s="32">
        <v>8.3196078E7</v>
      </c>
      <c r="I5" s="24">
        <f t="shared" si="20"/>
        <v>0.0004233601642</v>
      </c>
      <c r="J5" s="23">
        <f t="shared" si="2"/>
        <v>0.04535053048</v>
      </c>
      <c r="K5" s="33">
        <f>1.63*10^12</f>
        <v>1630000000000</v>
      </c>
      <c r="L5" s="21">
        <f>1.85*10^12</f>
        <v>1850000000000</v>
      </c>
      <c r="M5" s="21">
        <f t="shared" si="3"/>
        <v>220000000000</v>
      </c>
      <c r="N5" s="24">
        <f t="shared" si="21"/>
        <v>0.04761904762</v>
      </c>
      <c r="O5" s="23">
        <f t="shared" si="4"/>
        <v>0.0504587156</v>
      </c>
      <c r="P5" s="31">
        <v>0.4579</v>
      </c>
      <c r="Q5" s="24">
        <f t="shared" si="22"/>
        <v>0.03223624887</v>
      </c>
      <c r="R5" s="21">
        <f t="shared" si="5"/>
        <v>1996444000000</v>
      </c>
      <c r="S5" s="31">
        <v>0.001</v>
      </c>
      <c r="T5" s="21">
        <f t="shared" si="6"/>
        <v>1996444000</v>
      </c>
      <c r="U5" s="23">
        <f t="shared" si="7"/>
        <v>0.0004579</v>
      </c>
      <c r="V5" s="31">
        <v>0.031</v>
      </c>
      <c r="W5" s="21">
        <f t="shared" si="8"/>
        <v>52406.31656</v>
      </c>
      <c r="X5" s="25">
        <f t="shared" si="9"/>
        <v>50781.72074</v>
      </c>
      <c r="Y5" s="3">
        <v>0.95</v>
      </c>
      <c r="Z5" s="31">
        <f t="shared" si="23"/>
        <v>0.01063829787</v>
      </c>
      <c r="AA5" s="41">
        <v>0.312</v>
      </c>
      <c r="AB5" s="31">
        <f t="shared" si="24"/>
        <v>0.02243589744</v>
      </c>
      <c r="AC5" s="26">
        <f t="shared" si="10"/>
        <v>0.638</v>
      </c>
      <c r="AD5" s="27">
        <f t="shared" ref="AD5:AG5" si="25">AD6+($AH5-$AH6)/4</f>
        <v>0.1789928328</v>
      </c>
      <c r="AE5" s="27">
        <f t="shared" si="25"/>
        <v>0.1069928328</v>
      </c>
      <c r="AF5" s="27">
        <f t="shared" si="25"/>
        <v>0.05899283281</v>
      </c>
      <c r="AG5" s="27">
        <f t="shared" si="25"/>
        <v>0.02399283281</v>
      </c>
      <c r="AH5" s="23">
        <f t="shared" si="12"/>
        <v>0.3689713313</v>
      </c>
      <c r="AI5" s="39">
        <f t="shared" si="13"/>
        <v>0.4643226773</v>
      </c>
      <c r="AJ5" s="29">
        <f t="shared" si="14"/>
        <v>32398.73783</v>
      </c>
      <c r="AK5" s="30" t="str">
        <f t="shared" si="15"/>
        <v>B+</v>
      </c>
      <c r="AL5" s="30" t="str">
        <f t="shared" si="16"/>
        <v>0.46B+</v>
      </c>
    </row>
    <row r="6">
      <c r="A6" s="1">
        <v>2022.0</v>
      </c>
      <c r="B6" s="21">
        <f>101.56*1000000000000</f>
        <v>101560000000000</v>
      </c>
      <c r="C6" s="24">
        <f t="shared" si="17"/>
        <v>0.05637611816</v>
      </c>
      <c r="D6" s="22">
        <f>8.02*10^9</f>
        <v>8020000000</v>
      </c>
      <c r="E6" s="24">
        <f t="shared" si="18"/>
        <v>0.008805031447</v>
      </c>
      <c r="F6" s="21">
        <f>4.2*10^12</f>
        <v>4200000000000</v>
      </c>
      <c r="G6" s="24">
        <f t="shared" si="19"/>
        <v>-0.03669724771</v>
      </c>
      <c r="H6" s="32">
        <v>8.3177813E7</v>
      </c>
      <c r="I6" s="24">
        <f t="shared" si="20"/>
        <v>-0.0002195415991</v>
      </c>
      <c r="J6" s="23">
        <f t="shared" si="2"/>
        <v>0.04135486412</v>
      </c>
      <c r="K6" s="21">
        <f>1.81*10^12</f>
        <v>1810000000000</v>
      </c>
      <c r="L6" s="21">
        <f>1.92*10^12</f>
        <v>1920000000000</v>
      </c>
      <c r="M6" s="21">
        <f t="shared" si="3"/>
        <v>110000000000</v>
      </c>
      <c r="N6" s="24">
        <f t="shared" si="21"/>
        <v>-0.5</v>
      </c>
      <c r="O6" s="23">
        <f t="shared" si="4"/>
        <v>0.02619047619</v>
      </c>
      <c r="P6" s="31">
        <v>0.4503</v>
      </c>
      <c r="Q6" s="24">
        <f t="shared" si="22"/>
        <v>-0.01659751037</v>
      </c>
      <c r="R6" s="21">
        <f t="shared" si="5"/>
        <v>1891260000000</v>
      </c>
      <c r="S6" s="31">
        <v>0.025</v>
      </c>
      <c r="T6" s="21">
        <f t="shared" si="6"/>
        <v>47281500000</v>
      </c>
      <c r="U6" s="23">
        <f t="shared" si="7"/>
        <v>0.0112575</v>
      </c>
      <c r="V6" s="31">
        <v>0.069</v>
      </c>
      <c r="W6" s="21">
        <f t="shared" si="8"/>
        <v>50494.23456</v>
      </c>
      <c r="X6" s="25">
        <f t="shared" si="9"/>
        <v>47010.13238</v>
      </c>
      <c r="Y6" s="3">
        <v>0.94</v>
      </c>
      <c r="Z6" s="31">
        <f t="shared" si="23"/>
        <v>-0.01052631579</v>
      </c>
      <c r="AA6" s="41">
        <v>0.29</v>
      </c>
      <c r="AB6" s="31">
        <f t="shared" si="24"/>
        <v>-0.07586206897</v>
      </c>
      <c r="AC6" s="26">
        <f t="shared" si="10"/>
        <v>0.65</v>
      </c>
      <c r="AD6" s="27">
        <f t="shared" ref="AD6:AG6" si="26">AD7+($AH6-$AH7)/4</f>
        <v>0.1838477188</v>
      </c>
      <c r="AE6" s="27">
        <f t="shared" si="26"/>
        <v>0.1118477188</v>
      </c>
      <c r="AF6" s="27">
        <f t="shared" si="26"/>
        <v>0.06384771875</v>
      </c>
      <c r="AG6" s="27">
        <f t="shared" si="26"/>
        <v>0.02884771875</v>
      </c>
      <c r="AH6" s="23">
        <f t="shared" si="12"/>
        <v>0.388390875</v>
      </c>
      <c r="AI6" s="39">
        <f t="shared" si="13"/>
        <v>0.4446787153</v>
      </c>
      <c r="AJ6" s="29">
        <f t="shared" si="14"/>
        <v>30556.58605</v>
      </c>
      <c r="AK6" s="30" t="str">
        <f t="shared" si="15"/>
        <v>B+</v>
      </c>
      <c r="AL6" s="30" t="str">
        <f t="shared" si="16"/>
        <v>0.44B+</v>
      </c>
    </row>
    <row r="7">
      <c r="A7" s="1">
        <v>2023.0</v>
      </c>
      <c r="B7" s="21">
        <f>106.8*1000000000000</f>
        <v>106800000000000</v>
      </c>
      <c r="C7" s="24">
        <f t="shared" si="17"/>
        <v>0.05159511619</v>
      </c>
      <c r="D7" s="32">
        <f>8.09*10^9</f>
        <v>8090000000</v>
      </c>
      <c r="E7" s="24">
        <f t="shared" si="18"/>
        <v>0.008728179551</v>
      </c>
      <c r="F7" s="21">
        <f>4.56*10^12</f>
        <v>4560000000000</v>
      </c>
      <c r="G7" s="24">
        <f t="shared" si="19"/>
        <v>0.08571428571</v>
      </c>
      <c r="H7" s="32">
        <v>8.3287273E7</v>
      </c>
      <c r="I7" s="24">
        <f t="shared" si="20"/>
        <v>0.001315975932</v>
      </c>
      <c r="J7" s="23">
        <f t="shared" si="2"/>
        <v>0.04269662921</v>
      </c>
      <c r="K7" s="21">
        <f>1.78*10^12</f>
        <v>1780000000000</v>
      </c>
      <c r="L7" s="21">
        <f>1.96*10^12</f>
        <v>1960000000000</v>
      </c>
      <c r="M7" s="21">
        <f t="shared" si="3"/>
        <v>180000000000</v>
      </c>
      <c r="N7" s="24">
        <f t="shared" si="21"/>
        <v>0.6363636364</v>
      </c>
      <c r="O7" s="23">
        <f t="shared" si="4"/>
        <v>0.03947368421</v>
      </c>
      <c r="P7" s="31">
        <v>0.4436</v>
      </c>
      <c r="Q7" s="24">
        <f t="shared" si="22"/>
        <v>-0.01487896958</v>
      </c>
      <c r="R7" s="21">
        <f t="shared" si="5"/>
        <v>2022816000000</v>
      </c>
      <c r="S7" s="31">
        <v>0.045</v>
      </c>
      <c r="T7" s="21">
        <f t="shared" si="6"/>
        <v>91026720000</v>
      </c>
      <c r="U7" s="23">
        <f t="shared" si="7"/>
        <v>0.019962</v>
      </c>
      <c r="V7" s="31">
        <v>0.059</v>
      </c>
      <c r="W7" s="21">
        <f t="shared" si="8"/>
        <v>54750.26178</v>
      </c>
      <c r="X7" s="25">
        <f t="shared" si="9"/>
        <v>51519.99634</v>
      </c>
      <c r="Y7" s="3">
        <v>0.95</v>
      </c>
      <c r="Z7" s="31">
        <f t="shared" si="23"/>
        <v>0.01063829787</v>
      </c>
      <c r="AA7" s="41">
        <v>0.294</v>
      </c>
      <c r="AB7" s="31">
        <f t="shared" si="24"/>
        <v>0.01360544218</v>
      </c>
      <c r="AC7" s="26">
        <f t="shared" si="10"/>
        <v>0.656</v>
      </c>
      <c r="AD7" s="27">
        <f t="shared" ref="AD7:AG7" si="27">AD8+($AH7-$AH8)/4</f>
        <v>0.188958125</v>
      </c>
      <c r="AE7" s="27">
        <f t="shared" si="27"/>
        <v>0.116958125</v>
      </c>
      <c r="AF7" s="27">
        <f t="shared" si="27"/>
        <v>0.068958125</v>
      </c>
      <c r="AG7" s="27">
        <f t="shared" si="27"/>
        <v>0.033958125</v>
      </c>
      <c r="AH7" s="23">
        <f t="shared" si="12"/>
        <v>0.4088325</v>
      </c>
      <c r="AI7" s="39">
        <f t="shared" si="13"/>
        <v>0.4710408134</v>
      </c>
      <c r="AJ7" s="29">
        <f t="shared" si="14"/>
        <v>33797.1176</v>
      </c>
      <c r="AK7" s="30" t="str">
        <f t="shared" si="15"/>
        <v>B+</v>
      </c>
      <c r="AL7" s="30" t="str">
        <f t="shared" si="16"/>
        <v>0.47B+</v>
      </c>
    </row>
    <row r="8">
      <c r="A8" s="1">
        <v>2024.0</v>
      </c>
      <c r="B8" s="21">
        <f>112.6*1000000000000</f>
        <v>112600000000000</v>
      </c>
      <c r="C8" s="24">
        <f t="shared" si="17"/>
        <v>0.0543071161</v>
      </c>
      <c r="D8" s="32">
        <v>8.161972572E9</v>
      </c>
      <c r="E8" s="24">
        <f t="shared" si="18"/>
        <v>0.008896486032</v>
      </c>
      <c r="F8" s="21">
        <f>4.69*10^12</f>
        <v>4690000000000</v>
      </c>
      <c r="G8" s="24">
        <f t="shared" si="19"/>
        <v>0.02850877193</v>
      </c>
      <c r="H8" s="32">
        <v>8.3516593E7</v>
      </c>
      <c r="I8" s="24">
        <f t="shared" si="20"/>
        <v>0.002753361849</v>
      </c>
      <c r="J8" s="23">
        <f t="shared" si="2"/>
        <v>0.04165186501</v>
      </c>
      <c r="K8" s="21">
        <f>1.76*10^12</f>
        <v>1760000000000</v>
      </c>
      <c r="L8" s="21">
        <f>1.94*10^12</f>
        <v>1940000000000</v>
      </c>
      <c r="M8" s="21">
        <f t="shared" si="3"/>
        <v>180000000000</v>
      </c>
      <c r="N8" s="24">
        <f t="shared" si="21"/>
        <v>0</v>
      </c>
      <c r="O8" s="23">
        <f t="shared" si="4"/>
        <v>0.03837953092</v>
      </c>
      <c r="P8" s="31">
        <v>0.4397</v>
      </c>
      <c r="Q8" s="24">
        <f t="shared" si="22"/>
        <v>-0.008791704238</v>
      </c>
      <c r="R8" s="21">
        <f t="shared" si="5"/>
        <v>2062193000000</v>
      </c>
      <c r="S8" s="31">
        <v>0.0315</v>
      </c>
      <c r="T8" s="21">
        <f t="shared" si="6"/>
        <v>64959079500</v>
      </c>
      <c r="U8" s="23">
        <f t="shared" si="7"/>
        <v>0.01385055</v>
      </c>
      <c r="V8" s="31">
        <v>0.023</v>
      </c>
      <c r="W8" s="21">
        <f t="shared" si="8"/>
        <v>56156.50533</v>
      </c>
      <c r="X8" s="25">
        <f t="shared" si="9"/>
        <v>54864.90571</v>
      </c>
      <c r="Y8" s="44">
        <f>AVERAGE(Y7,Y9)</f>
        <v>0.9545</v>
      </c>
      <c r="Z8" s="31">
        <f t="shared" si="23"/>
        <v>0.004736842105</v>
      </c>
      <c r="AA8" s="41">
        <v>0.294</v>
      </c>
      <c r="AB8" s="31">
        <f t="shared" si="24"/>
        <v>0</v>
      </c>
      <c r="AC8" s="26">
        <f t="shared" si="10"/>
        <v>0.6605</v>
      </c>
      <c r="AD8" s="27">
        <f t="shared" ref="AD8:AG8" si="28">AD9+($AH8-$AH9)/4</f>
        <v>0.1943375</v>
      </c>
      <c r="AE8" s="27">
        <f t="shared" si="28"/>
        <v>0.1223375</v>
      </c>
      <c r="AF8" s="27">
        <f t="shared" si="28"/>
        <v>0.0743375</v>
      </c>
      <c r="AG8" s="27">
        <f t="shared" si="28"/>
        <v>0.0393375</v>
      </c>
      <c r="AH8" s="23">
        <f t="shared" si="12"/>
        <v>0.43035</v>
      </c>
      <c r="AI8" s="39">
        <f t="shared" si="13"/>
        <v>0.4965308459</v>
      </c>
      <c r="AJ8" s="29">
        <f t="shared" si="14"/>
        <v>36238.27022</v>
      </c>
      <c r="AK8" s="30" t="str">
        <f t="shared" si="15"/>
        <v>A-</v>
      </c>
      <c r="AL8" s="30" t="str">
        <f t="shared" si="16"/>
        <v>0.5A-</v>
      </c>
    </row>
    <row r="9">
      <c r="A9" s="1">
        <v>2025.0</v>
      </c>
      <c r="B9" s="33">
        <v>1.13795678E14</v>
      </c>
      <c r="C9" s="24">
        <f t="shared" si="17"/>
        <v>0.01061880995</v>
      </c>
      <c r="D9" s="32">
        <v>8.23161307E9</v>
      </c>
      <c r="E9" s="24">
        <f t="shared" si="18"/>
        <v>0.008532312181</v>
      </c>
      <c r="F9" s="33">
        <v>4.75E12</v>
      </c>
      <c r="G9" s="24">
        <f t="shared" si="19"/>
        <v>0.01279317697</v>
      </c>
      <c r="H9" s="32">
        <v>8.36E7</v>
      </c>
      <c r="I9" s="24">
        <f t="shared" si="20"/>
        <v>0.0009986877697</v>
      </c>
      <c r="J9" s="23">
        <f t="shared" si="2"/>
        <v>0.04174147985</v>
      </c>
      <c r="K9" s="33">
        <f>3978000000000/2</f>
        <v>1989000000000</v>
      </c>
      <c r="L9" s="33">
        <f>K9+282000000000</f>
        <v>2271000000000</v>
      </c>
      <c r="M9" s="33">
        <f t="shared" si="3"/>
        <v>282000000000</v>
      </c>
      <c r="N9" s="24">
        <f t="shared" si="21"/>
        <v>0.5666666667</v>
      </c>
      <c r="O9" s="23">
        <f t="shared" si="4"/>
        <v>0.05936842105</v>
      </c>
      <c r="P9" s="24">
        <f>R9/F9</f>
        <v>0.624</v>
      </c>
      <c r="Q9" s="24">
        <f t="shared" si="22"/>
        <v>0.4191494201</v>
      </c>
      <c r="R9" s="33">
        <v>2.964E12</v>
      </c>
      <c r="S9" s="31">
        <v>0.0215</v>
      </c>
      <c r="T9" s="21">
        <f t="shared" si="6"/>
        <v>63726000000</v>
      </c>
      <c r="U9" s="23">
        <f t="shared" si="7"/>
        <v>0.013416</v>
      </c>
      <c r="V9" s="31">
        <v>0.02</v>
      </c>
      <c r="W9" s="21">
        <f t="shared" si="8"/>
        <v>56818.18182</v>
      </c>
      <c r="X9" s="25">
        <f t="shared" si="9"/>
        <v>55681.81818</v>
      </c>
      <c r="Y9" s="43">
        <v>0.959</v>
      </c>
      <c r="Z9" s="31">
        <f t="shared" si="23"/>
        <v>0.004714510215</v>
      </c>
      <c r="AA9" s="41">
        <v>0.294</v>
      </c>
      <c r="AB9" s="31">
        <f t="shared" si="24"/>
        <v>0</v>
      </c>
      <c r="AC9" s="26">
        <f t="shared" si="10"/>
        <v>0.665</v>
      </c>
      <c r="AD9" s="31">
        <v>0.2</v>
      </c>
      <c r="AE9" s="31">
        <v>0.128</v>
      </c>
      <c r="AF9" s="31">
        <v>0.08</v>
      </c>
      <c r="AG9" s="31">
        <v>0.045</v>
      </c>
      <c r="AH9" s="23">
        <f>SUM(AD9:AG9)</f>
        <v>0.453</v>
      </c>
      <c r="AI9" s="39">
        <f t="shared" si="13"/>
        <v>0.5406939009</v>
      </c>
      <c r="AJ9" s="29">
        <f t="shared" si="14"/>
        <v>37028.40909</v>
      </c>
      <c r="AK9" s="30" t="str">
        <f t="shared" si="15"/>
        <v>A-</v>
      </c>
      <c r="AL9" s="30" t="str">
        <f t="shared" si="16"/>
        <v>0.54A-</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4917376110303</v>
      </c>
      <c r="G10" s="24">
        <f t="shared" si="19"/>
        <v>0.03523707585</v>
      </c>
      <c r="H10" s="22">
        <f>AVERAGE(FORECAST(A10,H3:H9,$A$3:$A$9),H9*(AVERAGE(I4:I9)+1))</f>
        <v>83653516.72</v>
      </c>
      <c r="I10" s="24">
        <f t="shared" si="20"/>
        <v>0.0006401522085</v>
      </c>
      <c r="J10" s="35">
        <f t="shared" si="2"/>
        <v>0.04095635557</v>
      </c>
      <c r="K10" s="36">
        <f>FORECAST(A10,K3:K9,A3:A9)</f>
        <v>2053714285714</v>
      </c>
      <c r="L10" s="36">
        <f t="shared" ref="L10:L14" si="30">K10+M10</f>
        <v>2263428571429</v>
      </c>
      <c r="M10" s="21">
        <f>FORECAST(A10,M3:M9,$A$3:$A$9)</f>
        <v>209714285714</v>
      </c>
      <c r="N10" s="24">
        <f t="shared" si="21"/>
        <v>-0.2563323202</v>
      </c>
      <c r="O10" s="24">
        <f t="shared" si="4"/>
        <v>0.04264759925</v>
      </c>
      <c r="P10" s="24">
        <f>AVERAGE(FORECAST(A10,P3:P9,$A$3:$A$9),P9*(AVERAGE(Q4:Q9)+1))</f>
        <v>0.6265391056</v>
      </c>
      <c r="Q10" s="24">
        <f t="shared" si="22"/>
        <v>0.004069079485</v>
      </c>
      <c r="R10" s="21">
        <f t="shared" ref="R10:R14" si="31">P10*F10</f>
        <v>3080928430043</v>
      </c>
      <c r="S10" s="24">
        <f>FORECAST(A10,S3:S9,$A$3:$A$9)</f>
        <v>0.04178571429</v>
      </c>
      <c r="T10" s="21">
        <f t="shared" si="6"/>
        <v>128738795112</v>
      </c>
      <c r="U10" s="24">
        <f t="shared" si="7"/>
        <v>0.02618038406</v>
      </c>
      <c r="V10" s="24">
        <f>FORECAST(A10,V3:V9,$A$3:$A$9)</f>
        <v>0.04385714286</v>
      </c>
      <c r="W10" s="21">
        <f t="shared" si="8"/>
        <v>58782.65855</v>
      </c>
      <c r="X10" s="21">
        <f t="shared" si="9"/>
        <v>56204.6191</v>
      </c>
      <c r="Y10" s="37">
        <f>AVERAGE(FORECAST(A10,Y3:Y9,$A$3:$A$9),Y9*(AVERAGE(Z4:Z9)+1))</f>
        <v>0.9610787328</v>
      </c>
      <c r="Z10" s="31">
        <f t="shared" si="23"/>
        <v>0.002167604616</v>
      </c>
      <c r="AA10" s="38">
        <f>AVERAGE(FORECAST(A10,AA3:AA9,$A$3:$A$9),AA9*(AVERAGE(AB4:AB9)+1))</f>
        <v>0.2921670151</v>
      </c>
      <c r="AB10" s="31">
        <f t="shared" si="24"/>
        <v>-0.006273757213</v>
      </c>
      <c r="AC10" s="37">
        <f t="shared" si="10"/>
        <v>0.6689117177</v>
      </c>
      <c r="AD10" s="27">
        <f t="shared" ref="AD10:AG10" si="29">AD9+($AH10-$AH9)/4</f>
        <v>0.2056625</v>
      </c>
      <c r="AE10" s="27">
        <f t="shared" si="29"/>
        <v>0.1336625</v>
      </c>
      <c r="AF10" s="27">
        <f t="shared" si="29"/>
        <v>0.0856625</v>
      </c>
      <c r="AG10" s="27">
        <f t="shared" si="29"/>
        <v>0.0506625</v>
      </c>
      <c r="AH10" s="24">
        <f t="shared" ref="AH10:AH14" si="33">AH9*1.05</f>
        <v>0.47565</v>
      </c>
      <c r="AI10" s="38">
        <f t="shared" si="13"/>
        <v>0.5330735708</v>
      </c>
      <c r="AJ10" s="21">
        <f t="shared" si="14"/>
        <v>37595.92831</v>
      </c>
      <c r="AK10" s="30" t="str">
        <f t="shared" si="15"/>
        <v>A-</v>
      </c>
      <c r="AL10" s="30" t="str">
        <f t="shared" si="16"/>
        <v>0.53A-</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5073693400710</v>
      </c>
      <c r="G11" s="24">
        <f t="shared" si="19"/>
        <v>0.03178876029</v>
      </c>
      <c r="H11" s="22">
        <f>AVERAGE(FORECAST($A11,H3:H10,$A3:$A10),H10*(AVERAGE(I4:I10)+1))</f>
        <v>83727390.13</v>
      </c>
      <c r="I11" s="24">
        <f t="shared" si="20"/>
        <v>0.0008830878158</v>
      </c>
      <c r="J11" s="35">
        <f t="shared" si="2"/>
        <v>0.04035210192</v>
      </c>
      <c r="K11" s="36">
        <f>FORECAST(A11,K3:K10,A3:A10)</f>
        <v>2147535714286</v>
      </c>
      <c r="L11" s="21">
        <f t="shared" si="30"/>
        <v>2359250000000</v>
      </c>
      <c r="M11" s="21">
        <f>FORECAST(A11,M3:M10,$A3:$A10)</f>
        <v>211714285714</v>
      </c>
      <c r="N11" s="24">
        <f t="shared" si="21"/>
        <v>0.009536784741</v>
      </c>
      <c r="O11" s="24">
        <f t="shared" si="4"/>
        <v>0.0417278438</v>
      </c>
      <c r="P11" s="24">
        <f>AVERAGE(FORECAST($A11,P3:P10,$A3:$A10),P10*(AVERAGE(Q4:Q10)+1))</f>
        <v>0.6517576211</v>
      </c>
      <c r="Q11" s="24">
        <f t="shared" si="22"/>
        <v>0.04025050514</v>
      </c>
      <c r="R11" s="21">
        <f t="shared" si="31"/>
        <v>3306818340988</v>
      </c>
      <c r="S11" s="24">
        <f>FORECAST($A11,S3:S10,$A3:$A10)</f>
        <v>0.04773214286</v>
      </c>
      <c r="T11" s="21">
        <f t="shared" si="6"/>
        <v>157841525455</v>
      </c>
      <c r="U11" s="24">
        <f t="shared" si="7"/>
        <v>0.03110978788</v>
      </c>
      <c r="V11" s="24">
        <f>FORECAST($A11,V3:V10,$A3:$A10)</f>
        <v>0.04707142857</v>
      </c>
      <c r="W11" s="21">
        <f t="shared" si="8"/>
        <v>60597.77324</v>
      </c>
      <c r="X11" s="21">
        <f t="shared" si="9"/>
        <v>57745.34948</v>
      </c>
      <c r="Y11" s="37">
        <f>AVERAGE(FORECAST($A11,Y3:Y10,$A3:$A10),Y10*(AVERAGE(Z4:Z10)+1))</f>
        <v>0.9638625209</v>
      </c>
      <c r="Z11" s="31">
        <f t="shared" si="23"/>
        <v>0.002896524471</v>
      </c>
      <c r="AA11" s="38">
        <f>AVERAGE(FORECAST($A11,AA3:AA10,$A3:$A10),AA10*(AVERAGE(AB4:AB10)+1))</f>
        <v>0.2905856976</v>
      </c>
      <c r="AB11" s="31">
        <f t="shared" si="24"/>
        <v>-0.005441828201</v>
      </c>
      <c r="AC11" s="37">
        <f t="shared" si="10"/>
        <v>0.6732768233</v>
      </c>
      <c r="AD11" s="27">
        <f t="shared" ref="AD11:AG11" si="32">AD10+($AH11-$AH10)/4</f>
        <v>0.211608125</v>
      </c>
      <c r="AE11" s="27">
        <f t="shared" si="32"/>
        <v>0.139608125</v>
      </c>
      <c r="AF11" s="27">
        <f t="shared" si="32"/>
        <v>0.091608125</v>
      </c>
      <c r="AG11" s="27">
        <f t="shared" si="32"/>
        <v>0.056608125</v>
      </c>
      <c r="AH11" s="24">
        <f t="shared" si="33"/>
        <v>0.4994325</v>
      </c>
      <c r="AI11" s="38">
        <f t="shared" si="13"/>
        <v>0.5504026578</v>
      </c>
      <c r="AJ11" s="21">
        <f t="shared" si="14"/>
        <v>38878.60546</v>
      </c>
      <c r="AK11" s="30" t="str">
        <f t="shared" si="15"/>
        <v>A-</v>
      </c>
      <c r="AL11" s="30" t="str">
        <f t="shared" si="16"/>
        <v>0.55A-</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5226929164705</v>
      </c>
      <c r="G12" s="24">
        <f t="shared" si="19"/>
        <v>0.03020201496</v>
      </c>
      <c r="H12" s="22">
        <f>AVERAGE(FORECAST($A12,H3:H11,$A3:$A11),H11*(AVERAGE(I4:I11)+1))</f>
        <v>83808208.09</v>
      </c>
      <c r="I12" s="24">
        <f t="shared" si="20"/>
        <v>0.0009652512354</v>
      </c>
      <c r="J12" s="35">
        <f t="shared" si="2"/>
        <v>0.03982803288</v>
      </c>
      <c r="K12" s="36">
        <f>FORECAST(A12,K3:K11,A3:A11)</f>
        <v>2241357142857</v>
      </c>
      <c r="L12" s="21">
        <f t="shared" si="30"/>
        <v>2455071428571</v>
      </c>
      <c r="M12" s="21">
        <f>FORECAST(A12,M3:M11,$A3:$A11)</f>
        <v>213714285714</v>
      </c>
      <c r="N12" s="24">
        <f t="shared" si="21"/>
        <v>0.009446693657</v>
      </c>
      <c r="O12" s="24">
        <f t="shared" si="4"/>
        <v>0.04088715936</v>
      </c>
      <c r="P12" s="24">
        <f>AVERAGE(FORECAST($A12,P3:P11,$A3:$A11),P11*(AVERAGE(Q4:Q11)+1))</f>
        <v>0.6856387106</v>
      </c>
      <c r="Q12" s="24">
        <f t="shared" si="22"/>
        <v>0.05198418611</v>
      </c>
      <c r="R12" s="21">
        <f t="shared" si="31"/>
        <v>3583784972696</v>
      </c>
      <c r="S12" s="24">
        <f>FORECAST($A12,S3:S11,$A3:$A11)</f>
        <v>0.05367857143</v>
      </c>
      <c r="T12" s="21">
        <f t="shared" si="6"/>
        <v>192372457641</v>
      </c>
      <c r="U12" s="24">
        <f t="shared" si="7"/>
        <v>0.0368041065</v>
      </c>
      <c r="V12" s="24">
        <f>FORECAST($A12,V3:V11,$A3:$A11)</f>
        <v>0.05028571429</v>
      </c>
      <c r="W12" s="21">
        <f t="shared" si="8"/>
        <v>62367.74755</v>
      </c>
      <c r="X12" s="21">
        <f t="shared" si="9"/>
        <v>59231.54081</v>
      </c>
      <c r="Y12" s="37">
        <f>AVERAGE(FORECAST($A12,Y3:Y11,$A3:$A11),Y11*(AVERAGE(Z4:Z11)+1))</f>
        <v>0.9668883591</v>
      </c>
      <c r="Z12" s="31">
        <f t="shared" si="23"/>
        <v>0.003139284016</v>
      </c>
      <c r="AA12" s="37">
        <f>AVERAGE(FORECAST($A12,AA3:AA11,$A3:$A11),AA11*(AVERAGE(AB4:AB11)+1))</f>
        <v>0.2890907693</v>
      </c>
      <c r="AB12" s="31">
        <f t="shared" si="24"/>
        <v>-0.00517113819</v>
      </c>
      <c r="AC12" s="37">
        <f t="shared" si="10"/>
        <v>0.6777975898</v>
      </c>
      <c r="AD12" s="27">
        <f t="shared" ref="AD12:AG12" si="34">AD11+($AH12-$AH11)/4</f>
        <v>0.2178510313</v>
      </c>
      <c r="AE12" s="27">
        <f t="shared" si="34"/>
        <v>0.1458510313</v>
      </c>
      <c r="AF12" s="27">
        <f t="shared" si="34"/>
        <v>0.09785103125</v>
      </c>
      <c r="AG12" s="27">
        <f t="shared" si="34"/>
        <v>0.06285103125</v>
      </c>
      <c r="AH12" s="24">
        <f t="shared" si="33"/>
        <v>0.524404125</v>
      </c>
      <c r="AI12" s="38">
        <f t="shared" si="13"/>
        <v>0.5683152107</v>
      </c>
      <c r="AJ12" s="21">
        <f t="shared" si="14"/>
        <v>40146.9956</v>
      </c>
      <c r="AK12" s="30" t="str">
        <f t="shared" si="15"/>
        <v>A</v>
      </c>
      <c r="AL12" s="30" t="str">
        <f t="shared" si="16"/>
        <v>0.57A</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5379731727209</v>
      </c>
      <c r="G13" s="24">
        <f t="shared" si="19"/>
        <v>0.02923371595</v>
      </c>
      <c r="H13" s="22">
        <f>AVERAGE(FORECAST($A13,H3:H12,$A3:$A12),H12*(AVERAGE(I4:I12)+1))</f>
        <v>83891508.76</v>
      </c>
      <c r="I13" s="24">
        <f t="shared" si="20"/>
        <v>0.0009939439892</v>
      </c>
      <c r="J13" s="35">
        <f t="shared" si="2"/>
        <v>0.03935069967</v>
      </c>
      <c r="K13" s="36">
        <f>FORECAST(A13,K3:K12,A3:A12)</f>
        <v>2335178571429</v>
      </c>
      <c r="L13" s="21">
        <f t="shared" si="30"/>
        <v>2550892857143</v>
      </c>
      <c r="M13" s="21">
        <f>FORECAST(A13,M3:M12,$A3:$A12)</f>
        <v>215714285714</v>
      </c>
      <c r="N13" s="24">
        <f t="shared" si="21"/>
        <v>0.00935828877</v>
      </c>
      <c r="O13" s="24">
        <f t="shared" si="4"/>
        <v>0.0400975916</v>
      </c>
      <c r="P13" s="24">
        <f>AVERAGE(FORECAST($A13,P3:P12,$A3:$A12),P12*(AVERAGE(Q4:Q12)+1))</f>
        <v>0.7231905449</v>
      </c>
      <c r="Q13" s="24">
        <f t="shared" si="22"/>
        <v>0.05476912812</v>
      </c>
      <c r="R13" s="21">
        <f t="shared" si="31"/>
        <v>3890571119454</v>
      </c>
      <c r="S13" s="24">
        <f>FORECAST($A13,S3:S12,$A3:$A12)</f>
        <v>0.059625</v>
      </c>
      <c r="T13" s="21">
        <f t="shared" si="6"/>
        <v>231975302997</v>
      </c>
      <c r="U13" s="24">
        <f t="shared" si="7"/>
        <v>0.04312023624</v>
      </c>
      <c r="V13" s="24">
        <f>FORECAST($A13,V3:V12,$A3:$A12)</f>
        <v>0.0535</v>
      </c>
      <c r="W13" s="21">
        <f t="shared" si="8"/>
        <v>64127.24967</v>
      </c>
      <c r="X13" s="21">
        <f t="shared" si="9"/>
        <v>60696.44181</v>
      </c>
      <c r="Y13" s="37">
        <f>AVERAGE(FORECAST($A13,Y3:Y12,$A3:$A12),Y12*(AVERAGE(Z4:Z12)+1))</f>
        <v>0.9700019085</v>
      </c>
      <c r="Z13" s="31">
        <f t="shared" si="23"/>
        <v>0.003220174716</v>
      </c>
      <c r="AA13" s="37">
        <f>AVERAGE(FORECAST($A13,AA3:AA12,$A3:$A12),AA12*(AVERAGE(AB4:AB12)+1))</f>
        <v>0.2876272628</v>
      </c>
      <c r="AB13" s="31">
        <f t="shared" si="24"/>
        <v>-0.00508820522</v>
      </c>
      <c r="AC13" s="37">
        <f t="shared" si="10"/>
        <v>0.6823746458</v>
      </c>
      <c r="AD13" s="27">
        <f t="shared" ref="AD13:AG13" si="35">AD12+($AH13-$AH12)/4</f>
        <v>0.2244060828</v>
      </c>
      <c r="AE13" s="27">
        <f t="shared" si="35"/>
        <v>0.1524060828</v>
      </c>
      <c r="AF13" s="27">
        <f t="shared" si="35"/>
        <v>0.1044060828</v>
      </c>
      <c r="AG13" s="27">
        <f t="shared" si="35"/>
        <v>0.06940608281</v>
      </c>
      <c r="AH13" s="24">
        <f t="shared" si="33"/>
        <v>0.5506243313</v>
      </c>
      <c r="AI13" s="38">
        <f t="shared" si="13"/>
        <v>0.5869523863</v>
      </c>
      <c r="AJ13" s="21">
        <f t="shared" si="14"/>
        <v>41417.71298</v>
      </c>
      <c r="AK13" s="30" t="str">
        <f t="shared" si="15"/>
        <v>A</v>
      </c>
      <c r="AL13" s="30" t="str">
        <f t="shared" si="16"/>
        <v>0.59A</v>
      </c>
    </row>
    <row r="14">
      <c r="A14" s="34">
        <v>2030.0</v>
      </c>
      <c r="B14" s="21">
        <f>AVERAGE(FORECAST($A14,B5:B13,$A5:$A13),B13*(AVERAGE(C6:C13)+1))</f>
        <v>141834754671550</v>
      </c>
      <c r="C14" s="24"/>
      <c r="D14" s="22">
        <f>AVERAGE(FORECAST($A14,D5:D13,$A5:$A13),D13*(AVERAGE(E6:E13)+1))</f>
        <v>8586617399</v>
      </c>
      <c r="E14" s="24"/>
      <c r="F14" s="21">
        <f>AVERAGE(FORECAST($A14,F5:F13,$A5:$A13),F13*(AVERAGE(G6:G13)+1))</f>
        <v>5511009600601</v>
      </c>
      <c r="H14" s="22">
        <f>AVERAGE(FORECAST($A14,H5:H13,$A5:$A13),H13*(AVERAGE(I6:I13)+1))</f>
        <v>83996431.35</v>
      </c>
      <c r="J14" s="35">
        <f t="shared" si="2"/>
        <v>0.03885514247</v>
      </c>
      <c r="K14" s="36">
        <f>FORECAST(A14,K3:K13,A3:A13)</f>
        <v>2429000000000</v>
      </c>
      <c r="L14" s="21">
        <f t="shared" si="30"/>
        <v>2646714285714</v>
      </c>
      <c r="M14" s="21">
        <f>FORECAST(A14,M3:M13,$A3:$A13)</f>
        <v>217714285714</v>
      </c>
      <c r="N14" s="24">
        <f t="shared" si="21"/>
        <v>0.009271523179</v>
      </c>
      <c r="O14" s="24">
        <f t="shared" si="4"/>
        <v>0.03950533595</v>
      </c>
      <c r="P14" s="24">
        <f>AVERAGE(FORECAST($A14,P3:P13,$A3:$A13),P13*(AVERAGE(Q4:Q13)+1))</f>
        <v>0.762540431</v>
      </c>
      <c r="R14" s="21">
        <f t="shared" si="31"/>
        <v>4202367636285</v>
      </c>
      <c r="S14" s="24">
        <f>FORECAST($A14,S3:S13,$A3:$A13)</f>
        <v>0.06557142857</v>
      </c>
      <c r="T14" s="21">
        <f t="shared" si="6"/>
        <v>275555249294</v>
      </c>
      <c r="U14" s="24">
        <f t="shared" si="7"/>
        <v>0.05000086541</v>
      </c>
      <c r="V14" s="24">
        <f>FORECAST($A14,V3:V13,$A3:$A13)</f>
        <v>0.05671428571</v>
      </c>
      <c r="W14" s="21">
        <f t="shared" si="8"/>
        <v>65610.04452</v>
      </c>
      <c r="X14" s="21">
        <f t="shared" si="9"/>
        <v>61889.01771</v>
      </c>
      <c r="Y14" s="37">
        <f>AVERAGE(FORECAST($A14,Y3:Y13,$A3:$A13),Y13*(AVERAGE(Z4:Z13)+1))</f>
        <v>0.9731491589</v>
      </c>
      <c r="AA14" s="37">
        <f>AVERAGE(FORECAST($A14,AA3:AA13,$A3:$A13),AA13*(AVERAGE(AB4:AB13)+1))</f>
        <v>0.2861760077</v>
      </c>
      <c r="AC14" s="37">
        <f t="shared" si="10"/>
        <v>0.6869731512</v>
      </c>
      <c r="AD14" s="27">
        <f t="shared" ref="AD14:AG14" si="36">AD13+($AH14-$AH13)/4</f>
        <v>0.231288887</v>
      </c>
      <c r="AE14" s="27">
        <f t="shared" si="36"/>
        <v>0.159288887</v>
      </c>
      <c r="AF14" s="27">
        <f t="shared" si="36"/>
        <v>0.111288887</v>
      </c>
      <c r="AG14" s="27">
        <f t="shared" si="36"/>
        <v>0.07628888695</v>
      </c>
      <c r="AH14" s="24">
        <f t="shared" si="33"/>
        <v>0.5781555478</v>
      </c>
      <c r="AI14" s="38">
        <f t="shared" si="13"/>
        <v>0.6065151608</v>
      </c>
      <c r="AJ14" s="21">
        <f t="shared" si="14"/>
        <v>42516.09352</v>
      </c>
      <c r="AK14" s="30" t="str">
        <f t="shared" si="15"/>
        <v>A</v>
      </c>
      <c r="AL14" s="30" t="str">
        <f t="shared" si="16"/>
        <v>0.61A</v>
      </c>
    </row>
  </sheetData>
  <mergeCells count="1">
    <mergeCell ref="B1:AL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23.63"/>
    <col customWidth="1" min="15" max="15" width="18.38"/>
    <col customWidth="1" min="17" max="17" width="18.5"/>
    <col customWidth="1" min="18" max="18" width="16.75"/>
    <col customWidth="1" min="20" max="20" width="14.38"/>
    <col customWidth="1" min="21" max="21" width="20.5"/>
    <col customWidth="1" min="36" max="36" width="19.88"/>
    <col customWidth="1" min="37" max="37" width="16.88"/>
  </cols>
  <sheetData>
    <row r="1">
      <c r="A1" s="1" t="s">
        <v>88</v>
      </c>
      <c r="B1" s="18" t="s">
        <v>120</v>
      </c>
      <c r="AM1" s="18"/>
      <c r="AN1" s="18"/>
      <c r="AO1" s="18"/>
      <c r="AP1" s="18"/>
      <c r="AQ1" s="18"/>
      <c r="AR1" s="18"/>
    </row>
    <row r="2">
      <c r="A2" s="1" t="s">
        <v>90</v>
      </c>
      <c r="B2" s="1" t="s">
        <v>20</v>
      </c>
      <c r="C2" s="1" t="s">
        <v>91</v>
      </c>
      <c r="D2" s="1" t="s">
        <v>92</v>
      </c>
      <c r="E2" s="1" t="s">
        <v>93</v>
      </c>
      <c r="F2" s="1" t="s">
        <v>19</v>
      </c>
      <c r="G2" s="1" t="s">
        <v>94</v>
      </c>
      <c r="H2" s="1" t="s">
        <v>95</v>
      </c>
      <c r="I2" s="1" t="s">
        <v>96</v>
      </c>
      <c r="J2" s="19" t="s">
        <v>97</v>
      </c>
      <c r="K2" s="1" t="s">
        <v>98</v>
      </c>
      <c r="L2" s="1" t="s">
        <v>99</v>
      </c>
      <c r="M2" s="1" t="s">
        <v>100</v>
      </c>
      <c r="N2" s="1" t="s">
        <v>101</v>
      </c>
      <c r="O2" s="19" t="s">
        <v>102</v>
      </c>
      <c r="P2" s="1" t="s">
        <v>103</v>
      </c>
      <c r="Q2" s="1" t="s">
        <v>104</v>
      </c>
      <c r="R2" s="1" t="s">
        <v>105</v>
      </c>
      <c r="S2" s="1" t="s">
        <v>106</v>
      </c>
      <c r="T2" s="1" t="s">
        <v>107</v>
      </c>
      <c r="U2" s="19" t="s">
        <v>108</v>
      </c>
      <c r="V2" s="1" t="s">
        <v>25</v>
      </c>
      <c r="W2" s="1" t="s">
        <v>109</v>
      </c>
      <c r="X2" s="19" t="s">
        <v>5</v>
      </c>
      <c r="Y2" s="1" t="s">
        <v>29</v>
      </c>
      <c r="Z2" s="1" t="s">
        <v>110</v>
      </c>
      <c r="AA2" s="1" t="s">
        <v>30</v>
      </c>
      <c r="AB2" s="1" t="s">
        <v>111</v>
      </c>
      <c r="AC2" s="19" t="s">
        <v>9</v>
      </c>
      <c r="AD2" s="1" t="s">
        <v>112</v>
      </c>
      <c r="AE2" s="1" t="s">
        <v>113</v>
      </c>
      <c r="AF2" s="1" t="s">
        <v>114</v>
      </c>
      <c r="AG2" s="1" t="s">
        <v>115</v>
      </c>
      <c r="AH2" s="19" t="s">
        <v>116</v>
      </c>
      <c r="AI2" s="20" t="s">
        <v>117</v>
      </c>
      <c r="AJ2" s="20" t="s">
        <v>2</v>
      </c>
      <c r="AK2" s="1" t="s">
        <v>118</v>
      </c>
      <c r="AL2" s="1" t="s">
        <v>119</v>
      </c>
      <c r="AM2" s="1"/>
      <c r="AN2" s="1"/>
      <c r="AO2" s="1"/>
      <c r="AP2" s="1"/>
      <c r="AQ2" s="1"/>
      <c r="AR2" s="1"/>
    </row>
    <row r="3">
      <c r="A3" s="1">
        <v>2019.0</v>
      </c>
      <c r="B3" s="21">
        <f>87.7*1000000000000</f>
        <v>87700000000000</v>
      </c>
      <c r="C3" s="21"/>
      <c r="D3" s="22">
        <f>7.81*10^9</f>
        <v>7810000000</v>
      </c>
      <c r="E3" s="22"/>
      <c r="F3" s="21">
        <f>1.12*10^12</f>
        <v>1120000000000</v>
      </c>
      <c r="G3" s="21"/>
      <c r="H3" s="32">
        <v>2.72489381E8</v>
      </c>
      <c r="I3" s="22"/>
      <c r="J3" s="23">
        <f t="shared" ref="J3:J14" si="2">F3/B3</f>
        <v>0.01277080958</v>
      </c>
      <c r="K3" s="33">
        <v>2.13035E11</v>
      </c>
      <c r="L3" s="33">
        <v>2.080578E11</v>
      </c>
      <c r="M3" s="21">
        <f t="shared" ref="M3:M8" si="3">L3-K3</f>
        <v>-4977200000</v>
      </c>
      <c r="N3" s="24"/>
      <c r="O3" s="23">
        <f t="shared" ref="O3:O14" si="4">M3/F3</f>
        <v>-0.004443928571</v>
      </c>
      <c r="P3" s="31">
        <v>0.306</v>
      </c>
      <c r="Q3" s="24"/>
      <c r="R3" s="21">
        <f t="shared" ref="R3:R8" si="5">P3*F3</f>
        <v>342720000000</v>
      </c>
      <c r="S3" s="31">
        <v>0.06</v>
      </c>
      <c r="T3" s="21">
        <f t="shared" ref="T3:T14" si="6">R3*S3</f>
        <v>20563200000</v>
      </c>
      <c r="U3" s="23">
        <f t="shared" ref="U3:U14" si="7">T3/F3</f>
        <v>0.01836</v>
      </c>
      <c r="V3" s="31">
        <v>0.03030585</v>
      </c>
      <c r="W3" s="21">
        <f t="shared" ref="W3:W14" si="8">F3/H3</f>
        <v>4110.251915</v>
      </c>
      <c r="X3" s="25">
        <f t="shared" ref="X3:X14" si="9">W3*(1-V3)</f>
        <v>3985.687237</v>
      </c>
      <c r="Y3" s="3">
        <v>0.71</v>
      </c>
      <c r="Z3" s="3"/>
      <c r="AA3" s="41">
        <v>0.354</v>
      </c>
      <c r="AB3" s="3"/>
      <c r="AC3" s="26">
        <f t="shared" ref="AC3:AC14" si="10">Y3-AA3</f>
        <v>0.356</v>
      </c>
      <c r="AD3" s="27">
        <f t="shared" ref="AD3:AG3" si="1">AD4+($AH3-$AH4)/4</f>
        <v>0.1523833296</v>
      </c>
      <c r="AE3" s="27">
        <f t="shared" si="1"/>
        <v>0.009383329598</v>
      </c>
      <c r="AF3" s="27">
        <f t="shared" si="1"/>
        <v>0.1323833296</v>
      </c>
      <c r="AG3" s="27">
        <f t="shared" si="1"/>
        <v>0.0123833296</v>
      </c>
      <c r="AH3" s="23">
        <f t="shared" ref="AH3:AH8" si="12">AH4*95%</f>
        <v>0.3065333184</v>
      </c>
      <c r="AI3" s="39">
        <f t="shared" ref="AI3:AI14" si="13">AH3+J3+O3-U3</f>
        <v>0.2965001994</v>
      </c>
      <c r="AJ3" s="29">
        <f t="shared" ref="AJ3:AJ14" si="14">X3*AC3</f>
        <v>1418.904656</v>
      </c>
      <c r="AK3" s="30" t="str">
        <f t="shared" ref="AK3:AK14" si="15">IFS(
AJ3&lt;=2500,"D-",
AJ3&lt;=5000,"D",
AJ3&lt;=10000,"D+",
AJ3&lt;=12500,"C-",
AJ3&lt;=15000,"C",
AJ3&lt;=20000,"C+",
AJ3&lt;=25000,"B-",
AJ3&lt;=30000,"B",
AJ3&lt;=35000,"B+",
AJ3&lt;=40000,"A-",
AJ3&lt;=50000,"A",
AJ3&lt;=100000,"A+",
TRUE,"Out of range"
)
</f>
        <v>D-</v>
      </c>
      <c r="AL3" s="30" t="str">
        <f t="shared" ref="AL3:AL14" si="16">CONCAT(ROUND(AI3,2),AK3)</f>
        <v>0.3D-</v>
      </c>
    </row>
    <row r="4">
      <c r="A4" s="1">
        <v>2020.0</v>
      </c>
      <c r="B4" s="21">
        <f>84.75*1000000000000</f>
        <v>84750000000000</v>
      </c>
      <c r="C4" s="24">
        <f t="shared" ref="C4:C13" si="17">(B4-B3)/B3</f>
        <v>-0.03363740023</v>
      </c>
      <c r="D4" s="22">
        <f>7.89*10^9</f>
        <v>7890000000</v>
      </c>
      <c r="E4" s="24">
        <f t="shared" ref="E4:E13" si="18">(D4-D3)/D3</f>
        <v>0.01024327785</v>
      </c>
      <c r="F4" s="21">
        <f>1.06*10^12</f>
        <v>1060000000000</v>
      </c>
      <c r="G4" s="24">
        <f t="shared" ref="G4:G13" si="19">(F4-F3)/F3</f>
        <v>-0.05357142857</v>
      </c>
      <c r="H4" s="32">
        <v>2.74814866E8</v>
      </c>
      <c r="I4" s="24">
        <f t="shared" ref="I4:I13" si="20">(H4-H3)/H3</f>
        <v>0.008534222477</v>
      </c>
      <c r="J4" s="23">
        <f t="shared" si="2"/>
        <v>0.01250737463</v>
      </c>
      <c r="K4" s="33">
        <v>1.65647E11</v>
      </c>
      <c r="L4" s="33">
        <v>1.835466E11</v>
      </c>
      <c r="M4" s="21">
        <f t="shared" si="3"/>
        <v>17899600000</v>
      </c>
      <c r="N4" s="24">
        <f t="shared" ref="N4:N14" si="21">(M4-M3)/M3</f>
        <v>-4.596319216</v>
      </c>
      <c r="O4" s="23">
        <f t="shared" si="4"/>
        <v>0.01688641509</v>
      </c>
      <c r="P4" s="31">
        <v>0.397</v>
      </c>
      <c r="Q4" s="24">
        <f t="shared" ref="Q4:Q13" si="22">(P4-P3)/P3</f>
        <v>0.2973856209</v>
      </c>
      <c r="R4" s="21">
        <f t="shared" si="5"/>
        <v>420820000000</v>
      </c>
      <c r="S4" s="31">
        <v>0.045</v>
      </c>
      <c r="T4" s="21">
        <f t="shared" si="6"/>
        <v>18936900000</v>
      </c>
      <c r="U4" s="23">
        <f t="shared" si="7"/>
        <v>0.017865</v>
      </c>
      <c r="V4" s="31">
        <v>0.01919835</v>
      </c>
      <c r="W4" s="21">
        <f t="shared" si="8"/>
        <v>3857.142139</v>
      </c>
      <c r="X4" s="25">
        <f t="shared" si="9"/>
        <v>3783.091374</v>
      </c>
      <c r="Y4" s="3">
        <v>0.72</v>
      </c>
      <c r="Z4" s="31">
        <f t="shared" ref="Z4:Z13" si="23">(Y4-Y3)/Y3</f>
        <v>0.01408450704</v>
      </c>
      <c r="AA4" s="41">
        <v>0.353</v>
      </c>
      <c r="AB4" s="31">
        <f t="shared" ref="AB4:AB13" si="24">(AA4-AA3)/AA4</f>
        <v>-0.00283286119</v>
      </c>
      <c r="AC4" s="26">
        <f t="shared" si="10"/>
        <v>0.367</v>
      </c>
      <c r="AD4" s="27">
        <f t="shared" ref="AD4:AG4" si="11">AD5+($AH4-$AH5)/4</f>
        <v>0.1564166627</v>
      </c>
      <c r="AE4" s="27">
        <f t="shared" si="11"/>
        <v>0.01341666273</v>
      </c>
      <c r="AF4" s="27">
        <f t="shared" si="11"/>
        <v>0.1364166627</v>
      </c>
      <c r="AG4" s="27">
        <f t="shared" si="11"/>
        <v>0.01641666273</v>
      </c>
      <c r="AH4" s="23">
        <f t="shared" si="12"/>
        <v>0.3226666509</v>
      </c>
      <c r="AI4" s="39">
        <f t="shared" si="13"/>
        <v>0.3341954407</v>
      </c>
      <c r="AJ4" s="29">
        <f t="shared" si="14"/>
        <v>1388.394534</v>
      </c>
      <c r="AK4" s="30" t="str">
        <f t="shared" si="15"/>
        <v>D-</v>
      </c>
      <c r="AL4" s="30" t="str">
        <f t="shared" si="16"/>
        <v>0.33D-</v>
      </c>
    </row>
    <row r="5">
      <c r="A5" s="1">
        <v>2021.0</v>
      </c>
      <c r="B5" s="21">
        <f>96.14*1000000000000</f>
        <v>96140000000000</v>
      </c>
      <c r="C5" s="24">
        <f t="shared" si="17"/>
        <v>0.1343952802</v>
      </c>
      <c r="D5" s="22">
        <f>7.95*10^9</f>
        <v>7950000000</v>
      </c>
      <c r="E5" s="24">
        <f t="shared" si="18"/>
        <v>0.007604562738</v>
      </c>
      <c r="F5" s="33">
        <f>1.19*10^12</f>
        <v>1190000000000</v>
      </c>
      <c r="G5" s="24">
        <f t="shared" si="19"/>
        <v>0.1226415094</v>
      </c>
      <c r="H5" s="32">
        <v>2.76758053E8</v>
      </c>
      <c r="I5" s="24">
        <f t="shared" si="20"/>
        <v>0.007070894775</v>
      </c>
      <c r="J5" s="23">
        <f t="shared" si="2"/>
        <v>0.0123777824</v>
      </c>
      <c r="K5" s="33">
        <v>2.22924E11</v>
      </c>
      <c r="L5" s="33">
        <v>2.541095E11</v>
      </c>
      <c r="M5" s="21">
        <f t="shared" si="3"/>
        <v>31185500000</v>
      </c>
      <c r="N5" s="24">
        <f t="shared" si="21"/>
        <v>0.7422456368</v>
      </c>
      <c r="O5" s="23">
        <f t="shared" si="4"/>
        <v>0.02620630252</v>
      </c>
      <c r="P5" s="31">
        <v>0.411</v>
      </c>
      <c r="Q5" s="24">
        <f t="shared" si="22"/>
        <v>0.03526448363</v>
      </c>
      <c r="R5" s="21">
        <f t="shared" si="5"/>
        <v>489090000000</v>
      </c>
      <c r="S5" s="31">
        <v>0.035</v>
      </c>
      <c r="T5" s="21">
        <f t="shared" si="6"/>
        <v>17118150000</v>
      </c>
      <c r="U5" s="23">
        <f t="shared" si="7"/>
        <v>0.014385</v>
      </c>
      <c r="V5" s="31">
        <v>0.01560079</v>
      </c>
      <c r="W5" s="21">
        <f t="shared" si="8"/>
        <v>4299.784549</v>
      </c>
      <c r="X5" s="25">
        <f t="shared" si="9"/>
        <v>4232.704513</v>
      </c>
      <c r="Y5" s="3">
        <v>0.71</v>
      </c>
      <c r="Z5" s="31">
        <f t="shared" si="23"/>
        <v>-0.01388888889</v>
      </c>
      <c r="AA5" s="41">
        <v>0.355</v>
      </c>
      <c r="AB5" s="31">
        <f t="shared" si="24"/>
        <v>0.005633802817</v>
      </c>
      <c r="AC5" s="26">
        <f t="shared" si="10"/>
        <v>0.355</v>
      </c>
      <c r="AD5" s="27">
        <f t="shared" ref="AD5:AG5" si="25">AD6+($AH5-$AH6)/4</f>
        <v>0.1606622766</v>
      </c>
      <c r="AE5" s="27">
        <f t="shared" si="25"/>
        <v>0.01766227656</v>
      </c>
      <c r="AF5" s="27">
        <f t="shared" si="25"/>
        <v>0.1406622766</v>
      </c>
      <c r="AG5" s="27">
        <f t="shared" si="25"/>
        <v>0.02066227656</v>
      </c>
      <c r="AH5" s="23">
        <f t="shared" si="12"/>
        <v>0.3396491063</v>
      </c>
      <c r="AI5" s="39">
        <f t="shared" si="13"/>
        <v>0.3638481912</v>
      </c>
      <c r="AJ5" s="29">
        <f t="shared" si="14"/>
        <v>1502.610102</v>
      </c>
      <c r="AK5" s="30" t="str">
        <f t="shared" si="15"/>
        <v>D-</v>
      </c>
      <c r="AL5" s="30" t="str">
        <f t="shared" si="16"/>
        <v>0.36D-</v>
      </c>
    </row>
    <row r="6">
      <c r="A6" s="1">
        <v>2022.0</v>
      </c>
      <c r="B6" s="21">
        <f>101.56*1000000000000</f>
        <v>101560000000000</v>
      </c>
      <c r="C6" s="24">
        <f t="shared" si="17"/>
        <v>0.05637611816</v>
      </c>
      <c r="D6" s="22">
        <f>8.02*10^9</f>
        <v>8020000000</v>
      </c>
      <c r="E6" s="24">
        <f t="shared" si="18"/>
        <v>0.008805031447</v>
      </c>
      <c r="F6" s="21">
        <f>1.32*10^12</f>
        <v>1320000000000</v>
      </c>
      <c r="G6" s="24">
        <f t="shared" si="19"/>
        <v>0.1092436975</v>
      </c>
      <c r="H6" s="32">
        <v>2.78830529E8</v>
      </c>
      <c r="I6" s="24">
        <f t="shared" si="20"/>
        <v>0.007488403599</v>
      </c>
      <c r="J6" s="23">
        <f t="shared" si="2"/>
        <v>0.01299724301</v>
      </c>
      <c r="K6" s="33">
        <v>2.76507E11</v>
      </c>
      <c r="L6" s="33">
        <v>3.232182E11</v>
      </c>
      <c r="M6" s="21">
        <f t="shared" si="3"/>
        <v>46711200000</v>
      </c>
      <c r="N6" s="24">
        <f t="shared" si="21"/>
        <v>0.4978499623</v>
      </c>
      <c r="O6" s="23">
        <f t="shared" si="4"/>
        <v>0.03538727273</v>
      </c>
      <c r="P6" s="31">
        <v>0.397</v>
      </c>
      <c r="Q6" s="24">
        <f t="shared" si="22"/>
        <v>-0.03406326034</v>
      </c>
      <c r="R6" s="21">
        <f t="shared" si="5"/>
        <v>524040000000</v>
      </c>
      <c r="S6" s="31">
        <v>0.035</v>
      </c>
      <c r="T6" s="21">
        <f t="shared" si="6"/>
        <v>18341400000</v>
      </c>
      <c r="U6" s="23">
        <f t="shared" si="7"/>
        <v>0.013895</v>
      </c>
      <c r="V6" s="31">
        <v>0.04209465</v>
      </c>
      <c r="W6" s="21">
        <f t="shared" si="8"/>
        <v>4734.058371</v>
      </c>
      <c r="X6" s="25">
        <f t="shared" si="9"/>
        <v>4534.779841</v>
      </c>
      <c r="Y6" s="3">
        <v>0.71</v>
      </c>
      <c r="Z6" s="31">
        <f t="shared" si="23"/>
        <v>0</v>
      </c>
      <c r="AA6" s="41">
        <v>0.355</v>
      </c>
      <c r="AB6" s="31">
        <f t="shared" si="24"/>
        <v>0</v>
      </c>
      <c r="AC6" s="26">
        <f t="shared" si="10"/>
        <v>0.355</v>
      </c>
      <c r="AD6" s="27">
        <f t="shared" ref="AD6:AG6" si="26">AD7+($AH6-$AH7)/4</f>
        <v>0.1651313438</v>
      </c>
      <c r="AE6" s="27">
        <f t="shared" si="26"/>
        <v>0.02213134375</v>
      </c>
      <c r="AF6" s="27">
        <f t="shared" si="26"/>
        <v>0.1451313438</v>
      </c>
      <c r="AG6" s="27">
        <f t="shared" si="26"/>
        <v>0.02513134375</v>
      </c>
      <c r="AH6" s="23">
        <f t="shared" si="12"/>
        <v>0.357525375</v>
      </c>
      <c r="AI6" s="39">
        <f t="shared" si="13"/>
        <v>0.3920148907</v>
      </c>
      <c r="AJ6" s="29">
        <f t="shared" si="14"/>
        <v>1609.846844</v>
      </c>
      <c r="AK6" s="30" t="str">
        <f t="shared" si="15"/>
        <v>D-</v>
      </c>
      <c r="AL6" s="30" t="str">
        <f t="shared" si="16"/>
        <v>0.39D-</v>
      </c>
    </row>
    <row r="7">
      <c r="A7" s="1">
        <v>2023.0</v>
      </c>
      <c r="B7" s="21">
        <f>106.8*1000000000000</f>
        <v>106800000000000</v>
      </c>
      <c r="C7" s="24">
        <f t="shared" si="17"/>
        <v>0.05159511619</v>
      </c>
      <c r="D7" s="32">
        <f>8.09*10^9</f>
        <v>8090000000</v>
      </c>
      <c r="E7" s="24">
        <f t="shared" si="18"/>
        <v>0.008728179551</v>
      </c>
      <c r="F7" s="21">
        <f>1.37*10^12</f>
        <v>1370000000000</v>
      </c>
      <c r="G7" s="24">
        <f t="shared" si="19"/>
        <v>0.03787878788</v>
      </c>
      <c r="H7" s="32">
        <v>2.81190067E8</v>
      </c>
      <c r="I7" s="24">
        <f t="shared" si="20"/>
        <v>0.008462265622</v>
      </c>
      <c r="J7" s="23">
        <f t="shared" si="2"/>
        <v>0.01282771536</v>
      </c>
      <c r="K7" s="33">
        <v>2.68508E11</v>
      </c>
      <c r="L7" s="33">
        <v>2.982821E11</v>
      </c>
      <c r="M7" s="21">
        <f t="shared" si="3"/>
        <v>29774100000</v>
      </c>
      <c r="N7" s="24">
        <f t="shared" si="21"/>
        <v>-0.3625918409</v>
      </c>
      <c r="O7" s="23">
        <f t="shared" si="4"/>
        <v>0.02173291971</v>
      </c>
      <c r="P7" s="31">
        <v>0.392</v>
      </c>
      <c r="Q7" s="24">
        <f t="shared" si="22"/>
        <v>-0.01259445844</v>
      </c>
      <c r="R7" s="21">
        <f t="shared" si="5"/>
        <v>537040000000</v>
      </c>
      <c r="S7" s="31">
        <v>0.0575</v>
      </c>
      <c r="T7" s="21">
        <f t="shared" si="6"/>
        <v>30879800000</v>
      </c>
      <c r="U7" s="23">
        <f t="shared" si="7"/>
        <v>0.02254</v>
      </c>
      <c r="V7" s="31">
        <v>0.036693869999999996</v>
      </c>
      <c r="W7" s="21">
        <f t="shared" si="8"/>
        <v>4872.149342</v>
      </c>
      <c r="X7" s="25">
        <f t="shared" si="9"/>
        <v>4693.371328</v>
      </c>
      <c r="Y7" s="3">
        <v>0.73</v>
      </c>
      <c r="Z7" s="31">
        <f t="shared" si="23"/>
        <v>0.02816901408</v>
      </c>
      <c r="AA7" s="41">
        <v>0.361</v>
      </c>
      <c r="AB7" s="31">
        <f t="shared" si="24"/>
        <v>0.01662049861</v>
      </c>
      <c r="AC7" s="26">
        <f t="shared" si="10"/>
        <v>0.369</v>
      </c>
      <c r="AD7" s="27">
        <f t="shared" ref="AD7:AG7" si="27">AD8+($AH7-$AH8)/4</f>
        <v>0.169835625</v>
      </c>
      <c r="AE7" s="27">
        <f t="shared" si="27"/>
        <v>0.026835625</v>
      </c>
      <c r="AF7" s="27">
        <f t="shared" si="27"/>
        <v>0.149835625</v>
      </c>
      <c r="AG7" s="27">
        <f t="shared" si="27"/>
        <v>0.029835625</v>
      </c>
      <c r="AH7" s="23">
        <f t="shared" si="12"/>
        <v>0.3763425</v>
      </c>
      <c r="AI7" s="39">
        <f t="shared" si="13"/>
        <v>0.3883631351</v>
      </c>
      <c r="AJ7" s="29">
        <f t="shared" si="14"/>
        <v>1731.85402</v>
      </c>
      <c r="AK7" s="30" t="str">
        <f t="shared" si="15"/>
        <v>D-</v>
      </c>
      <c r="AL7" s="30" t="str">
        <f t="shared" si="16"/>
        <v>0.39D-</v>
      </c>
    </row>
    <row r="8">
      <c r="A8" s="1">
        <v>2024.0</v>
      </c>
      <c r="B8" s="21">
        <f>112.6*1000000000000</f>
        <v>112600000000000</v>
      </c>
      <c r="C8" s="24">
        <f t="shared" si="17"/>
        <v>0.0543071161</v>
      </c>
      <c r="D8" s="32">
        <v>8.161972572E9</v>
      </c>
      <c r="E8" s="24">
        <f t="shared" si="18"/>
        <v>0.008896486032</v>
      </c>
      <c r="F8" s="21">
        <f>1.4*10^12</f>
        <v>1400000000000</v>
      </c>
      <c r="G8" s="24">
        <f t="shared" si="19"/>
        <v>0.02189781022</v>
      </c>
      <c r="H8" s="32">
        <v>2.83487931E8</v>
      </c>
      <c r="I8" s="24">
        <f t="shared" si="20"/>
        <v>0.008171924508</v>
      </c>
      <c r="J8" s="23">
        <f t="shared" si="2"/>
        <v>0.01243339254</v>
      </c>
      <c r="K8" s="33">
        <v>2.84696E11</v>
      </c>
      <c r="L8" s="33">
        <v>3.097456E11</v>
      </c>
      <c r="M8" s="21">
        <f t="shared" si="3"/>
        <v>25049600000</v>
      </c>
      <c r="N8" s="24">
        <f t="shared" si="21"/>
        <v>-0.15867818</v>
      </c>
      <c r="O8" s="23">
        <f t="shared" si="4"/>
        <v>0.01789257143</v>
      </c>
      <c r="P8" s="31">
        <v>0.388</v>
      </c>
      <c r="Q8" s="24">
        <f t="shared" si="22"/>
        <v>-0.01020408163</v>
      </c>
      <c r="R8" s="21">
        <f t="shared" si="5"/>
        <v>543200000000</v>
      </c>
      <c r="S8" s="31">
        <v>0.0625</v>
      </c>
      <c r="T8" s="21">
        <f t="shared" si="6"/>
        <v>33950000000</v>
      </c>
      <c r="U8" s="23">
        <f t="shared" si="7"/>
        <v>0.02425</v>
      </c>
      <c r="V8" s="31">
        <v>0.02181513</v>
      </c>
      <c r="W8" s="21">
        <f t="shared" si="8"/>
        <v>4938.481843</v>
      </c>
      <c r="X8" s="25">
        <f t="shared" si="9"/>
        <v>4830.74822</v>
      </c>
      <c r="Y8" s="44">
        <f>AVERAGE(Y7,Y9)</f>
        <v>0.729</v>
      </c>
      <c r="Z8" s="31">
        <f t="shared" si="23"/>
        <v>-0.001369863014</v>
      </c>
      <c r="AA8" s="41">
        <v>0.349</v>
      </c>
      <c r="AB8" s="31">
        <f t="shared" si="24"/>
        <v>-0.03438395415</v>
      </c>
      <c r="AC8" s="26">
        <f t="shared" si="10"/>
        <v>0.38</v>
      </c>
      <c r="AD8" s="27">
        <f t="shared" ref="AD8:AG8" si="28">AD9+($AH8-$AH9)/4</f>
        <v>0.1747875</v>
      </c>
      <c r="AE8" s="27">
        <f t="shared" si="28"/>
        <v>0.0317875</v>
      </c>
      <c r="AF8" s="27">
        <f t="shared" si="28"/>
        <v>0.1547875</v>
      </c>
      <c r="AG8" s="27">
        <f t="shared" si="28"/>
        <v>0.0347875</v>
      </c>
      <c r="AH8" s="23">
        <f t="shared" si="12"/>
        <v>0.39615</v>
      </c>
      <c r="AI8" s="39">
        <f t="shared" si="13"/>
        <v>0.402225964</v>
      </c>
      <c r="AJ8" s="29">
        <f t="shared" si="14"/>
        <v>1835.684324</v>
      </c>
      <c r="AK8" s="30" t="str">
        <f t="shared" si="15"/>
        <v>D-</v>
      </c>
      <c r="AL8" s="30" t="str">
        <f t="shared" si="16"/>
        <v>0.4D-</v>
      </c>
    </row>
    <row r="9">
      <c r="A9" s="1">
        <v>2025.0</v>
      </c>
      <c r="B9" s="33">
        <v>1.13795678E14</v>
      </c>
      <c r="C9" s="24">
        <f t="shared" si="17"/>
        <v>0.01061880995</v>
      </c>
      <c r="D9" s="32">
        <v>8.23161307E9</v>
      </c>
      <c r="E9" s="24">
        <f t="shared" si="18"/>
        <v>0.008532312181</v>
      </c>
      <c r="F9" s="33">
        <v>1.429743E12</v>
      </c>
      <c r="G9" s="24">
        <f t="shared" si="19"/>
        <v>0.021245</v>
      </c>
      <c r="H9" s="32">
        <v>2.85E8</v>
      </c>
      <c r="I9" s="24">
        <f t="shared" si="20"/>
        <v>0.005333803787</v>
      </c>
      <c r="J9" s="23">
        <f t="shared" si="2"/>
        <v>0.01256412392</v>
      </c>
      <c r="K9" s="33">
        <f>566500000000/2</f>
        <v>283250000000</v>
      </c>
      <c r="L9" s="36">
        <f t="shared" ref="L9:L14" si="29">K9+M9</f>
        <v>313150000000</v>
      </c>
      <c r="M9" s="33">
        <v>2.99E10</v>
      </c>
      <c r="N9" s="24">
        <f t="shared" si="21"/>
        <v>0.1936318344</v>
      </c>
      <c r="O9" s="23">
        <f t="shared" si="4"/>
        <v>0.02091284937</v>
      </c>
      <c r="P9" s="24">
        <f>R9/F9</f>
        <v>0.4049999895</v>
      </c>
      <c r="Q9" s="24">
        <f t="shared" si="22"/>
        <v>0.04381440595</v>
      </c>
      <c r="R9" s="33">
        <v>5.790459E11</v>
      </c>
      <c r="S9" s="31">
        <v>0.055</v>
      </c>
      <c r="T9" s="21">
        <f t="shared" si="6"/>
        <v>31847524500</v>
      </c>
      <c r="U9" s="23">
        <f t="shared" si="7"/>
        <v>0.02227499942</v>
      </c>
      <c r="V9" s="31">
        <v>0.0187</v>
      </c>
      <c r="W9" s="21">
        <f t="shared" si="8"/>
        <v>5016.642105</v>
      </c>
      <c r="X9" s="25">
        <f t="shared" si="9"/>
        <v>4922.830898</v>
      </c>
      <c r="Y9" s="43">
        <v>0.728</v>
      </c>
      <c r="Z9" s="31">
        <f t="shared" si="23"/>
        <v>-0.001371742112</v>
      </c>
      <c r="AA9" s="41">
        <v>0.379</v>
      </c>
      <c r="AB9" s="31">
        <f t="shared" si="24"/>
        <v>0.07915567282</v>
      </c>
      <c r="AC9" s="26">
        <f t="shared" si="10"/>
        <v>0.349</v>
      </c>
      <c r="AD9" s="31">
        <v>0.18</v>
      </c>
      <c r="AE9" s="31">
        <v>0.037</v>
      </c>
      <c r="AF9" s="31">
        <v>0.16</v>
      </c>
      <c r="AG9" s="31">
        <v>0.04</v>
      </c>
      <c r="AH9" s="23">
        <f>SUM(AD9:AG9)</f>
        <v>0.417</v>
      </c>
      <c r="AI9" s="39">
        <f t="shared" si="13"/>
        <v>0.4282019739</v>
      </c>
      <c r="AJ9" s="29">
        <f t="shared" si="14"/>
        <v>1718.067983</v>
      </c>
      <c r="AK9" s="30" t="str">
        <f t="shared" si="15"/>
        <v>D-</v>
      </c>
      <c r="AL9" s="30" t="str">
        <f t="shared" si="16"/>
        <v>0.43D-</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1508553792545</v>
      </c>
      <c r="G10" s="24">
        <f t="shared" si="19"/>
        <v>0.05512234894</v>
      </c>
      <c r="H10" s="22">
        <f>AVERAGE(FORECAST(A10,H3:H9,$A$3:$A$9),H9*(AVERAGE(I4:I9)+1))</f>
        <v>287275984.4</v>
      </c>
      <c r="I10" s="24">
        <f t="shared" si="20"/>
        <v>0.007985910191</v>
      </c>
      <c r="J10" s="35">
        <f t="shared" si="2"/>
        <v>0.01256460034</v>
      </c>
      <c r="K10" s="36">
        <f>FORECAST(A10,K3:K9,A3:A9)</f>
        <v>315556285714</v>
      </c>
      <c r="L10" s="36">
        <f t="shared" si="29"/>
        <v>357422428571</v>
      </c>
      <c r="M10" s="21">
        <f>FORECAST(A10,M3:M9,$A$3:$A$9)</f>
        <v>41866142857</v>
      </c>
      <c r="N10" s="24">
        <f t="shared" si="21"/>
        <v>0.4002054467</v>
      </c>
      <c r="O10" s="24">
        <f t="shared" si="4"/>
        <v>0.02775250247</v>
      </c>
      <c r="P10" s="24">
        <f>AVERAGE(FORECAST(A10,P3:P9,$A$3:$A$9),P9*(AVERAGE(Q4:Q9)+1))</f>
        <v>0.4244294401</v>
      </c>
      <c r="Q10" s="24">
        <f t="shared" si="22"/>
        <v>0.04797395328</v>
      </c>
      <c r="R10" s="21">
        <f t="shared" ref="R10:R14" si="31">P10*F10</f>
        <v>640274641509</v>
      </c>
      <c r="S10" s="24">
        <f>FORECAST(A10,S3:S9,$A$3:$A$9)</f>
        <v>0.05607142857</v>
      </c>
      <c r="T10" s="21">
        <f t="shared" si="6"/>
        <v>35901113827</v>
      </c>
      <c r="U10" s="24">
        <f t="shared" si="7"/>
        <v>0.02379836503</v>
      </c>
      <c r="V10" s="24">
        <f>FORECAST(A10,V3:V9,$A$3:$A$9)</f>
        <v>0.02513110429</v>
      </c>
      <c r="W10" s="21">
        <f t="shared" si="8"/>
        <v>5251.235308</v>
      </c>
      <c r="X10" s="21">
        <f t="shared" si="9"/>
        <v>5119.265966</v>
      </c>
      <c r="Y10" s="37">
        <f>AVERAGE(FORECAST(A10,Y3:Y9,$A$3:$A$9),Y9*(AVERAGE(Z4:Z9)+1))</f>
        <v>0.7319116065</v>
      </c>
      <c r="Z10" s="31">
        <f t="shared" si="23"/>
        <v>0.005373085854</v>
      </c>
      <c r="AA10" s="38">
        <f>AVERAGE(FORECAST(A10,AA3:AA9,$A$3:$A$9),AA9*(AVERAGE(AB4:AB9)+1))</f>
        <v>0.3757417196</v>
      </c>
      <c r="AB10" s="31">
        <f t="shared" si="24"/>
        <v>-0.008671595885</v>
      </c>
      <c r="AC10" s="37">
        <f t="shared" si="10"/>
        <v>0.3561698869</v>
      </c>
      <c r="AD10" s="27">
        <f t="shared" ref="AD10:AG10" si="30">AD9+($AH10-$AH9)/4</f>
        <v>0.1852125</v>
      </c>
      <c r="AE10" s="27">
        <f t="shared" si="30"/>
        <v>0.0422125</v>
      </c>
      <c r="AF10" s="27">
        <f t="shared" si="30"/>
        <v>0.1652125</v>
      </c>
      <c r="AG10" s="27">
        <f t="shared" si="30"/>
        <v>0.0452125</v>
      </c>
      <c r="AH10" s="24">
        <f t="shared" ref="AH10:AH14" si="33">AH9*1.05</f>
        <v>0.43785</v>
      </c>
      <c r="AI10" s="38">
        <f t="shared" si="13"/>
        <v>0.4543687378</v>
      </c>
      <c r="AJ10" s="21">
        <f t="shared" si="14"/>
        <v>1823.32838</v>
      </c>
      <c r="AK10" s="30" t="str">
        <f t="shared" si="15"/>
        <v>D-</v>
      </c>
      <c r="AL10" s="30" t="str">
        <f t="shared" si="16"/>
        <v>0.45D-</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1578641747568</v>
      </c>
      <c r="G11" s="24">
        <f t="shared" si="19"/>
        <v>0.04646036182</v>
      </c>
      <c r="H11" s="22">
        <f>AVERAGE(FORECAST($A11,H3:H10,$A3:$A10),H10*(AVERAGE(I4:I10)+1))</f>
        <v>289457500.1</v>
      </c>
      <c r="I11" s="24">
        <f t="shared" si="20"/>
        <v>0.007593797731</v>
      </c>
      <c r="J11" s="35">
        <f t="shared" si="2"/>
        <v>0.01255525465</v>
      </c>
      <c r="K11" s="36">
        <f>FORECAST(A11,K3:K10,A3:A10)</f>
        <v>333210821429</v>
      </c>
      <c r="L11" s="21">
        <f t="shared" si="29"/>
        <v>379274114286</v>
      </c>
      <c r="M11" s="21">
        <f>FORECAST(A11,M3:M10,$A3:$A10)</f>
        <v>46063292857</v>
      </c>
      <c r="N11" s="24">
        <f t="shared" si="21"/>
        <v>0.1002516524</v>
      </c>
      <c r="O11" s="24">
        <f t="shared" si="4"/>
        <v>0.02917906671</v>
      </c>
      <c r="P11" s="24">
        <f>AVERAGE(FORECAST($A11,P3:P10,$A3:$A10),P10*(AVERAGE(Q4:Q10)+1))</f>
        <v>0.4396799607</v>
      </c>
      <c r="Q11" s="24">
        <f t="shared" si="22"/>
        <v>0.03593181611</v>
      </c>
      <c r="R11" s="21">
        <f t="shared" si="31"/>
        <v>694097141492</v>
      </c>
      <c r="S11" s="24">
        <f>FORECAST($A11,S3:S10,$A3:$A10)</f>
        <v>0.05758928571</v>
      </c>
      <c r="T11" s="21">
        <f t="shared" si="6"/>
        <v>39972558595</v>
      </c>
      <c r="U11" s="24">
        <f t="shared" si="7"/>
        <v>0.02532085488</v>
      </c>
      <c r="V11" s="24">
        <f>FORECAST($A11,V3:V10,$A3:$A10)</f>
        <v>0.0248278575</v>
      </c>
      <c r="W11" s="21">
        <f t="shared" si="8"/>
        <v>5453.794588</v>
      </c>
      <c r="X11" s="21">
        <f t="shared" si="9"/>
        <v>5318.388553</v>
      </c>
      <c r="Y11" s="37">
        <f>AVERAGE(FORECAST($A11,Y3:Y10,$A3:$A10),Y10*(AVERAGE(Z4:Z10)+1))</f>
        <v>0.7353755917</v>
      </c>
      <c r="Z11" s="31">
        <f t="shared" si="23"/>
        <v>0.004732791662</v>
      </c>
      <c r="AA11" s="38">
        <f>AVERAGE(FORECAST($A11,AA3:AA10,$A3:$A10),AA10*(AVERAGE(AB4:AB10)+1))</f>
        <v>0.3767071303</v>
      </c>
      <c r="AB11" s="31">
        <f t="shared" si="24"/>
        <v>0.00256276176</v>
      </c>
      <c r="AC11" s="37">
        <f t="shared" si="10"/>
        <v>0.3586684614</v>
      </c>
      <c r="AD11" s="27">
        <f t="shared" ref="AD11:AG11" si="32">AD10+($AH11-$AH10)/4</f>
        <v>0.190685625</v>
      </c>
      <c r="AE11" s="27">
        <f t="shared" si="32"/>
        <v>0.047685625</v>
      </c>
      <c r="AF11" s="27">
        <f t="shared" si="32"/>
        <v>0.170685625</v>
      </c>
      <c r="AG11" s="27">
        <f t="shared" si="32"/>
        <v>0.050685625</v>
      </c>
      <c r="AH11" s="24">
        <f t="shared" si="33"/>
        <v>0.4597425</v>
      </c>
      <c r="AI11" s="38">
        <f t="shared" si="13"/>
        <v>0.4761559665</v>
      </c>
      <c r="AJ11" s="21">
        <f t="shared" si="14"/>
        <v>1907.538239</v>
      </c>
      <c r="AK11" s="30" t="str">
        <f t="shared" si="15"/>
        <v>D-</v>
      </c>
      <c r="AL11" s="30" t="str">
        <f t="shared" si="16"/>
        <v>0.48D-</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1646137802725</v>
      </c>
      <c r="G12" s="24">
        <f t="shared" si="19"/>
        <v>0.0427557774</v>
      </c>
      <c r="H12" s="22">
        <f>AVERAGE(FORECAST($A12,H3:H11,$A3:$A11),H11*(AVERAGE(I4:I11)+1))</f>
        <v>291609269.3</v>
      </c>
      <c r="I12" s="24">
        <f t="shared" si="20"/>
        <v>0.007433800011</v>
      </c>
      <c r="J12" s="35">
        <f t="shared" si="2"/>
        <v>0.01254320242</v>
      </c>
      <c r="K12" s="36">
        <f>FORECAST(A12,K3:K11,A3:A11)</f>
        <v>350865357143</v>
      </c>
      <c r="L12" s="21">
        <f t="shared" si="29"/>
        <v>401125800000</v>
      </c>
      <c r="M12" s="21">
        <f>FORECAST(A12,M3:M11,$A3:$A11)</f>
        <v>50260442857</v>
      </c>
      <c r="N12" s="24">
        <f t="shared" si="21"/>
        <v>0.09111702051</v>
      </c>
      <c r="O12" s="24">
        <f t="shared" si="4"/>
        <v>0.03053234229</v>
      </c>
      <c r="P12" s="24">
        <f>AVERAGE(FORECAST($A12,P3:P11,$A3:$A11),P11*(AVERAGE(Q4:Q11)+1))</f>
        <v>0.45354592</v>
      </c>
      <c r="Q12" s="24">
        <f t="shared" si="22"/>
        <v>0.03153648227</v>
      </c>
      <c r="R12" s="21">
        <f t="shared" si="31"/>
        <v>746599084117</v>
      </c>
      <c r="S12" s="24">
        <f>FORECAST($A12,S3:S11,$A3:$A11)</f>
        <v>0.05910714286</v>
      </c>
      <c r="T12" s="21">
        <f t="shared" si="6"/>
        <v>44129338722</v>
      </c>
      <c r="U12" s="24">
        <f t="shared" si="7"/>
        <v>0.02680780348</v>
      </c>
      <c r="V12" s="24">
        <f>FORECAST($A12,V3:V11,$A3:$A11)</f>
        <v>0.02452461071</v>
      </c>
      <c r="W12" s="21">
        <f t="shared" si="8"/>
        <v>5645.011925</v>
      </c>
      <c r="X12" s="21">
        <f t="shared" si="9"/>
        <v>5506.570206</v>
      </c>
      <c r="Y12" s="37">
        <f>AVERAGE(FORECAST($A12,Y3:Y11,$A3:$A11),Y11*(AVERAGE(Z4:Z11)+1))</f>
        <v>0.7386891026</v>
      </c>
      <c r="Z12" s="31">
        <f t="shared" si="23"/>
        <v>0.004505875673</v>
      </c>
      <c r="AA12" s="37">
        <f>AVERAGE(FORECAST($A12,AA3:AA11,$A3:$A11),AA11*(AVERAGE(AB4:AB11)+1))</f>
        <v>0.3791232866</v>
      </c>
      <c r="AB12" s="31">
        <f t="shared" si="24"/>
        <v>0.006373009596</v>
      </c>
      <c r="AC12" s="37">
        <f t="shared" si="10"/>
        <v>0.359565816</v>
      </c>
      <c r="AD12" s="27">
        <f t="shared" ref="AD12:AG12" si="34">AD11+($AH12-$AH11)/4</f>
        <v>0.1964324063</v>
      </c>
      <c r="AE12" s="27">
        <f t="shared" si="34"/>
        <v>0.05343240625</v>
      </c>
      <c r="AF12" s="27">
        <f t="shared" si="34"/>
        <v>0.1764324063</v>
      </c>
      <c r="AG12" s="27">
        <f t="shared" si="34"/>
        <v>0.05643240625</v>
      </c>
      <c r="AH12" s="24">
        <f t="shared" si="33"/>
        <v>0.482729625</v>
      </c>
      <c r="AI12" s="38">
        <f t="shared" si="13"/>
        <v>0.4989973662</v>
      </c>
      <c r="AJ12" s="21">
        <f t="shared" si="14"/>
        <v>1979.974409</v>
      </c>
      <c r="AK12" s="30" t="str">
        <f t="shared" si="15"/>
        <v>D-</v>
      </c>
      <c r="AL12" s="30" t="str">
        <f t="shared" si="16"/>
        <v>0.5D-</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1713101714869</v>
      </c>
      <c r="G13" s="24">
        <f t="shared" si="19"/>
        <v>0.04067940851</v>
      </c>
      <c r="H13" s="22">
        <f>AVERAGE(FORECAST($A13,H3:H12,$A3:$A12),H12*(AVERAGE(I4:I12)+1))</f>
        <v>293752720.2</v>
      </c>
      <c r="I13" s="24">
        <f t="shared" si="20"/>
        <v>0.007350421163</v>
      </c>
      <c r="J13" s="35">
        <f t="shared" si="2"/>
        <v>0.0125306901</v>
      </c>
      <c r="K13" s="36">
        <f>FORECAST(A13,K3:K12,A3:A12)</f>
        <v>368519892857</v>
      </c>
      <c r="L13" s="21">
        <f t="shared" si="29"/>
        <v>422977485714</v>
      </c>
      <c r="M13" s="21">
        <f>FORECAST(A13,M3:M12,$A3:$A12)</f>
        <v>54457592857</v>
      </c>
      <c r="N13" s="24">
        <f t="shared" si="21"/>
        <v>0.08350801866</v>
      </c>
      <c r="O13" s="24">
        <f t="shared" si="4"/>
        <v>0.03178888468</v>
      </c>
      <c r="P13" s="24">
        <f>AVERAGE(FORECAST($A13,P3:P12,$A3:$A12),P12*(AVERAGE(Q4:Q12)+1))</f>
        <v>0.466981221</v>
      </c>
      <c r="Q13" s="24">
        <f t="shared" si="22"/>
        <v>0.02962280215</v>
      </c>
      <c r="R13" s="21">
        <f t="shared" si="31"/>
        <v>799986330529</v>
      </c>
      <c r="S13" s="24">
        <f>FORECAST($A13,S3:S12,$A3:$A12)</f>
        <v>0.060625</v>
      </c>
      <c r="T13" s="21">
        <f t="shared" si="6"/>
        <v>48499171288</v>
      </c>
      <c r="U13" s="24">
        <f t="shared" si="7"/>
        <v>0.02831073652</v>
      </c>
      <c r="V13" s="24">
        <f>FORECAST($A13,V3:V12,$A3:$A12)</f>
        <v>0.02422136393</v>
      </c>
      <c r="W13" s="21">
        <f t="shared" si="8"/>
        <v>5831.781621</v>
      </c>
      <c r="X13" s="21">
        <f t="shared" si="9"/>
        <v>5690.527916</v>
      </c>
      <c r="Y13" s="37">
        <f>AVERAGE(FORECAST($A13,Y3:Y12,$A3:$A12),Y12*(AVERAGE(Z4:Z12)+1))</f>
        <v>0.7419510176</v>
      </c>
      <c r="Z13" s="31">
        <f t="shared" si="23"/>
        <v>0.00441581579</v>
      </c>
      <c r="AA13" s="37">
        <f>AVERAGE(FORECAST($A13,AA3:AA12,$A3:$A12),AA12*(AVERAGE(AB4:AB12)+1))</f>
        <v>0.3820606781</v>
      </c>
      <c r="AB13" s="31">
        <f t="shared" si="24"/>
        <v>0.007688285268</v>
      </c>
      <c r="AC13" s="37">
        <f t="shared" si="10"/>
        <v>0.3598903395</v>
      </c>
      <c r="AD13" s="27">
        <f t="shared" ref="AD13:AG13" si="35">AD12+($AH13-$AH12)/4</f>
        <v>0.2024665266</v>
      </c>
      <c r="AE13" s="27">
        <f t="shared" si="35"/>
        <v>0.05946652656</v>
      </c>
      <c r="AF13" s="27">
        <f t="shared" si="35"/>
        <v>0.1824665266</v>
      </c>
      <c r="AG13" s="27">
        <f t="shared" si="35"/>
        <v>0.06246652656</v>
      </c>
      <c r="AH13" s="24">
        <f t="shared" si="33"/>
        <v>0.5068661063</v>
      </c>
      <c r="AI13" s="38">
        <f t="shared" si="13"/>
        <v>0.5228749445</v>
      </c>
      <c r="AJ13" s="21">
        <f t="shared" si="14"/>
        <v>2047.966024</v>
      </c>
      <c r="AK13" s="30" t="str">
        <f t="shared" si="15"/>
        <v>D-</v>
      </c>
      <c r="AL13" s="30" t="str">
        <f t="shared" si="16"/>
        <v>0.52D-</v>
      </c>
    </row>
    <row r="14">
      <c r="A14" s="34">
        <v>2030.0</v>
      </c>
      <c r="B14" s="21">
        <f>AVERAGE(FORECAST($A14,B5:B13,$A5:$A13),B13*(AVERAGE(C6:C13)+1))</f>
        <v>141834754671550</v>
      </c>
      <c r="C14" s="24"/>
      <c r="D14" s="22">
        <f>AVERAGE(FORECAST($A14,D5:D13,$A5:$A13),D13*(AVERAGE(E6:E13)+1))</f>
        <v>8586617399</v>
      </c>
      <c r="E14" s="24"/>
      <c r="F14" s="21">
        <f>AVERAGE(FORECAST($A14,F5:F13,$A5:$A13),F13*(AVERAGE(G6:G13)+1))</f>
        <v>1777491512403</v>
      </c>
      <c r="H14" s="22">
        <f>AVERAGE(FORECAST($A14,H5:H13,$A5:$A13),H13*(AVERAGE(I6:I13)+1))</f>
        <v>295882434.7</v>
      </c>
      <c r="J14" s="35">
        <f t="shared" si="2"/>
        <v>0.01253212949</v>
      </c>
      <c r="K14" s="36">
        <f>FORECAST(A14,K3:K13,A3:A13)</f>
        <v>386174428571</v>
      </c>
      <c r="L14" s="21">
        <f t="shared" si="29"/>
        <v>444829171429</v>
      </c>
      <c r="M14" s="21">
        <f>FORECAST(A14,M3:M13,$A3:$A13)</f>
        <v>58654742857</v>
      </c>
      <c r="N14" s="24">
        <f t="shared" si="21"/>
        <v>0.07707189723</v>
      </c>
      <c r="O14" s="24">
        <f t="shared" si="4"/>
        <v>0.03299860643</v>
      </c>
      <c r="P14" s="24">
        <f>AVERAGE(FORECAST($A14,P3:P13,$A3:$A13),P13*(AVERAGE(Q4:Q13)+1))</f>
        <v>0.4803233325</v>
      </c>
      <c r="R14" s="21">
        <f t="shared" si="31"/>
        <v>853770646815</v>
      </c>
      <c r="S14" s="24">
        <f>FORECAST($A14,S3:S13,$A3:$A13)</f>
        <v>0.06214285714</v>
      </c>
      <c r="T14" s="21">
        <f t="shared" si="6"/>
        <v>53055747338</v>
      </c>
      <c r="U14" s="24">
        <f t="shared" si="7"/>
        <v>0.02984866424</v>
      </c>
      <c r="V14" s="24">
        <f>FORECAST($A14,V3:V13,$A3:$A13)</f>
        <v>0.02391811714</v>
      </c>
      <c r="W14" s="21">
        <f t="shared" si="8"/>
        <v>6007.424922</v>
      </c>
      <c r="X14" s="21">
        <f t="shared" si="9"/>
        <v>5863.738629</v>
      </c>
      <c r="Y14" s="37">
        <f>AVERAGE(FORECAST($A14,Y3:Y13,$A3:$A13),Y13*(AVERAGE(Z4:Z13)+1))</f>
        <v>0.7451957643</v>
      </c>
      <c r="AA14" s="37">
        <f>AVERAGE(FORECAST($A14,AA3:AA13,$A3:$A13),AA13*(AVERAGE(AB4:AB13)+1))</f>
        <v>0.3851937045</v>
      </c>
      <c r="AC14" s="37">
        <f t="shared" si="10"/>
        <v>0.3600020598</v>
      </c>
      <c r="AD14" s="27">
        <f t="shared" ref="AD14:AG14" si="36">AD13+($AH14-$AH13)/4</f>
        <v>0.2088023529</v>
      </c>
      <c r="AE14" s="27">
        <f t="shared" si="36"/>
        <v>0.06580235289</v>
      </c>
      <c r="AF14" s="27">
        <f t="shared" si="36"/>
        <v>0.1888023529</v>
      </c>
      <c r="AG14" s="27">
        <f t="shared" si="36"/>
        <v>0.06880235289</v>
      </c>
      <c r="AH14" s="24">
        <f t="shared" si="33"/>
        <v>0.5322094116</v>
      </c>
      <c r="AI14" s="38">
        <f t="shared" si="13"/>
        <v>0.5478914833</v>
      </c>
      <c r="AJ14" s="21">
        <f t="shared" si="14"/>
        <v>2110.957985</v>
      </c>
      <c r="AK14" s="30" t="str">
        <f t="shared" si="15"/>
        <v>D-</v>
      </c>
      <c r="AL14" s="30" t="str">
        <f t="shared" si="16"/>
        <v>0.55D-</v>
      </c>
    </row>
    <row r="17">
      <c r="K17" s="45"/>
      <c r="L17" s="45"/>
      <c r="M17" s="45"/>
      <c r="N17" s="45"/>
      <c r="O17" s="45"/>
      <c r="P17" s="45"/>
      <c r="Q17" s="45"/>
      <c r="R17" s="45"/>
      <c r="S17" s="45"/>
    </row>
    <row r="18">
      <c r="K18" s="45"/>
      <c r="O18" s="46"/>
      <c r="P18" s="46"/>
      <c r="Q18" s="46"/>
    </row>
    <row r="19">
      <c r="K19" s="45"/>
      <c r="O19" s="46"/>
      <c r="P19" s="46"/>
      <c r="Q19" s="46"/>
    </row>
    <row r="20">
      <c r="K20" s="45"/>
      <c r="O20" s="46"/>
      <c r="P20" s="46"/>
      <c r="Q20" s="46"/>
    </row>
    <row r="21">
      <c r="K21" s="45"/>
      <c r="O21" s="46"/>
      <c r="P21" s="46"/>
      <c r="Q21" s="46"/>
    </row>
    <row r="22">
      <c r="K22" s="45"/>
      <c r="O22" s="46"/>
      <c r="P22" s="46"/>
      <c r="Q22" s="46"/>
    </row>
    <row r="23">
      <c r="K23" s="45"/>
      <c r="O23" s="46"/>
      <c r="P23" s="46"/>
      <c r="Q23" s="46"/>
    </row>
  </sheetData>
  <mergeCells count="1">
    <mergeCell ref="B1:AL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23.63"/>
    <col customWidth="1" min="15" max="15" width="18.38"/>
    <col customWidth="1" min="17" max="17" width="18.5"/>
    <col customWidth="1" min="18" max="18" width="16.75"/>
    <col customWidth="1" min="20" max="20" width="14.38"/>
    <col customWidth="1" min="21" max="21" width="20.5"/>
    <col customWidth="1" min="36" max="36" width="19.88"/>
    <col customWidth="1" min="37" max="37" width="16.88"/>
  </cols>
  <sheetData>
    <row r="1">
      <c r="A1" s="1" t="s">
        <v>88</v>
      </c>
      <c r="B1" s="18" t="s">
        <v>120</v>
      </c>
      <c r="AM1" s="18"/>
      <c r="AN1" s="18"/>
      <c r="AO1" s="18"/>
      <c r="AP1" s="18"/>
      <c r="AQ1" s="18"/>
      <c r="AR1" s="18"/>
    </row>
    <row r="2">
      <c r="A2" s="1" t="s">
        <v>90</v>
      </c>
      <c r="B2" s="1" t="s">
        <v>20</v>
      </c>
      <c r="C2" s="1" t="s">
        <v>91</v>
      </c>
      <c r="D2" s="1" t="s">
        <v>92</v>
      </c>
      <c r="E2" s="1" t="s">
        <v>93</v>
      </c>
      <c r="F2" s="1" t="s">
        <v>19</v>
      </c>
      <c r="G2" s="1" t="s">
        <v>94</v>
      </c>
      <c r="H2" s="1" t="s">
        <v>95</v>
      </c>
      <c r="I2" s="1" t="s">
        <v>96</v>
      </c>
      <c r="J2" s="19" t="s">
        <v>97</v>
      </c>
      <c r="K2" s="1" t="s">
        <v>98</v>
      </c>
      <c r="L2" s="1" t="s">
        <v>99</v>
      </c>
      <c r="M2" s="1" t="s">
        <v>100</v>
      </c>
      <c r="N2" s="1" t="s">
        <v>101</v>
      </c>
      <c r="O2" s="19" t="s">
        <v>102</v>
      </c>
      <c r="P2" s="1" t="s">
        <v>103</v>
      </c>
      <c r="Q2" s="1" t="s">
        <v>104</v>
      </c>
      <c r="R2" s="1" t="s">
        <v>105</v>
      </c>
      <c r="S2" s="1" t="s">
        <v>106</v>
      </c>
      <c r="T2" s="1" t="s">
        <v>107</v>
      </c>
      <c r="U2" s="19" t="s">
        <v>108</v>
      </c>
      <c r="V2" s="1" t="s">
        <v>25</v>
      </c>
      <c r="W2" s="1" t="s">
        <v>109</v>
      </c>
      <c r="X2" s="19" t="s">
        <v>5</v>
      </c>
      <c r="Y2" s="1" t="s">
        <v>29</v>
      </c>
      <c r="Z2" s="1" t="s">
        <v>110</v>
      </c>
      <c r="AA2" s="1" t="s">
        <v>30</v>
      </c>
      <c r="AB2" s="1" t="s">
        <v>111</v>
      </c>
      <c r="AC2" s="19" t="s">
        <v>9</v>
      </c>
      <c r="AD2" s="1" t="s">
        <v>112</v>
      </c>
      <c r="AE2" s="1" t="s">
        <v>113</v>
      </c>
      <c r="AF2" s="1" t="s">
        <v>114</v>
      </c>
      <c r="AG2" s="1" t="s">
        <v>115</v>
      </c>
      <c r="AH2" s="19" t="s">
        <v>116</v>
      </c>
      <c r="AI2" s="20" t="s">
        <v>117</v>
      </c>
      <c r="AJ2" s="20" t="s">
        <v>2</v>
      </c>
      <c r="AK2" s="1" t="s">
        <v>118</v>
      </c>
      <c r="AL2" s="1" t="s">
        <v>119</v>
      </c>
      <c r="AM2" s="1"/>
      <c r="AN2" s="1"/>
      <c r="AO2" s="1"/>
      <c r="AP2" s="1"/>
      <c r="AQ2" s="1"/>
      <c r="AR2" s="1"/>
    </row>
    <row r="3">
      <c r="A3" s="1">
        <v>2019.0</v>
      </c>
      <c r="B3" s="21">
        <f>87.7*1000000000000</f>
        <v>87700000000000</v>
      </c>
      <c r="C3" s="21"/>
      <c r="D3" s="22">
        <f>7.81*10^9</f>
        <v>7810000000</v>
      </c>
      <c r="E3" s="22"/>
      <c r="F3" s="33">
        <v>1.873288E12</v>
      </c>
      <c r="G3" s="21"/>
      <c r="H3" s="32">
        <v>2.07455459E8</v>
      </c>
      <c r="I3" s="22"/>
      <c r="J3" s="23">
        <f t="shared" ref="J3:J14" si="2">F3/B3</f>
        <v>0.02136018244</v>
      </c>
      <c r="K3" s="33">
        <v>2.766348E11</v>
      </c>
      <c r="L3" s="33">
        <v>2.64563E11</v>
      </c>
      <c r="M3" s="21">
        <f t="shared" ref="M3:M8" si="3">L3-K3</f>
        <v>-12071800000</v>
      </c>
      <c r="N3" s="24"/>
      <c r="O3" s="23">
        <f t="shared" ref="O3:O14" si="4">M3/F3</f>
        <v>-0.006444177297</v>
      </c>
      <c r="P3" s="31">
        <v>0.926</v>
      </c>
      <c r="Q3" s="24"/>
      <c r="R3" s="21">
        <f t="shared" ref="R3:R8" si="5">P3*F3</f>
        <v>1734664688000</v>
      </c>
      <c r="S3" s="31">
        <v>0.065</v>
      </c>
      <c r="T3" s="21">
        <f t="shared" ref="T3:T14" si="6">R3*S3</f>
        <v>112753204720</v>
      </c>
      <c r="U3" s="23">
        <f t="shared" ref="U3:U14" si="7">T3/F3</f>
        <v>0.06019</v>
      </c>
      <c r="V3" s="31">
        <v>0.03732976</v>
      </c>
      <c r="W3" s="21">
        <f t="shared" ref="W3:W14" si="8">F3/H3</f>
        <v>9029.832278</v>
      </c>
      <c r="X3" s="25">
        <f t="shared" ref="X3:X14" si="9">W3*(1-V3)</f>
        <v>8692.750807</v>
      </c>
      <c r="Y3" s="3">
        <v>0.776</v>
      </c>
      <c r="Z3" s="3"/>
      <c r="AA3" s="41">
        <v>0.535</v>
      </c>
      <c r="AB3" s="3"/>
      <c r="AC3" s="26">
        <f t="shared" ref="AC3:AC14" si="10">Y3-AA3</f>
        <v>0.241</v>
      </c>
      <c r="AD3" s="27">
        <f t="shared" ref="AD3:AG3" si="1">AD4+($AH3-$AH4)/4</f>
        <v>0.08304559987</v>
      </c>
      <c r="AE3" s="27">
        <f t="shared" si="1"/>
        <v>0.06704559987</v>
      </c>
      <c r="AF3" s="27">
        <f t="shared" si="1"/>
        <v>0.07604559987</v>
      </c>
      <c r="AG3" s="27">
        <f t="shared" si="1"/>
        <v>0.07304559987</v>
      </c>
      <c r="AH3" s="23">
        <f t="shared" ref="AH3:AH8" si="12">AH4*95%</f>
        <v>0.2991823995</v>
      </c>
      <c r="AI3" s="39">
        <f t="shared" ref="AI3:AI14" si="13">AH3+J3+O3-U3</f>
        <v>0.2539084046</v>
      </c>
      <c r="AJ3" s="29">
        <f t="shared" ref="AJ3:AJ14" si="14">X3*AC3</f>
        <v>2094.952944</v>
      </c>
      <c r="AK3" s="30" t="str">
        <f t="shared" ref="AK3:AK14" si="15">IFS(
AJ3&lt;=2500,"D-",
AJ3&lt;=5000,"D",
AJ3&lt;=10000,"D+",
AJ3&lt;=12500,"C-",
AJ3&lt;=15000,"C",
AJ3&lt;=20000,"C+",
AJ3&lt;=25000,"B-",
AJ3&lt;=30000,"B",
AJ3&lt;=35000,"B+",
AJ3&lt;=40000,"A-",
AJ3&lt;=50000,"A",
AJ3&lt;=100000,"A+",
TRUE,"Out of range"
)
</f>
        <v>D-</v>
      </c>
      <c r="AL3" s="30" t="str">
        <f t="shared" ref="AL3:AL14" si="16">CONCAT(ROUND(AI3,2),AK3)</f>
        <v>0.25D-</v>
      </c>
    </row>
    <row r="4">
      <c r="A4" s="1">
        <v>2020.0</v>
      </c>
      <c r="B4" s="21">
        <f>84.75*1000000000000</f>
        <v>84750000000000</v>
      </c>
      <c r="C4" s="24">
        <f t="shared" ref="C4:C13" si="17">(B4-B3)/B3</f>
        <v>-0.03363740023</v>
      </c>
      <c r="D4" s="22">
        <f>7.89*10^9</f>
        <v>7890000000</v>
      </c>
      <c r="E4" s="24">
        <f t="shared" ref="E4:E13" si="18">(D4-D3)/D3</f>
        <v>0.01024327785</v>
      </c>
      <c r="F4" s="33">
        <v>1.476107E12</v>
      </c>
      <c r="G4" s="24">
        <f t="shared" ref="G4:G13" si="19">(F4-F3)/F3</f>
        <v>-0.2120234582</v>
      </c>
      <c r="H4" s="32">
        <v>2.08660842E8</v>
      </c>
      <c r="I4" s="24">
        <f t="shared" ref="I4:I13" si="20">(H4-H3)/H3</f>
        <v>0.005810321916</v>
      </c>
      <c r="J4" s="23">
        <f t="shared" si="2"/>
        <v>0.01741719174</v>
      </c>
      <c r="K4" s="33">
        <v>2.339413E11</v>
      </c>
      <c r="L4" s="33">
        <v>2.428721E11</v>
      </c>
      <c r="M4" s="21">
        <f t="shared" si="3"/>
        <v>8930800000</v>
      </c>
      <c r="N4" s="24">
        <f t="shared" ref="N4:N14" si="21">(M4-M3)/M3</f>
        <v>-1.739806823</v>
      </c>
      <c r="O4" s="23">
        <f t="shared" si="4"/>
        <v>0.006050238905</v>
      </c>
      <c r="P4" s="31">
        <v>0.987</v>
      </c>
      <c r="Q4" s="24">
        <f t="shared" ref="Q4:Q13" si="22">(P4-P3)/P3</f>
        <v>0.06587473002</v>
      </c>
      <c r="R4" s="21">
        <f t="shared" si="5"/>
        <v>1456917609000</v>
      </c>
      <c r="S4" s="31">
        <v>0.02</v>
      </c>
      <c r="T4" s="21">
        <f t="shared" si="6"/>
        <v>29138352180</v>
      </c>
      <c r="U4" s="23">
        <f t="shared" si="7"/>
        <v>0.01974</v>
      </c>
      <c r="V4" s="31">
        <v>0.03211768</v>
      </c>
      <c r="W4" s="21">
        <f t="shared" si="8"/>
        <v>7074.192675</v>
      </c>
      <c r="X4" s="25">
        <f t="shared" si="9"/>
        <v>6846.986018</v>
      </c>
      <c r="Y4" s="3">
        <v>0.77</v>
      </c>
      <c r="Z4" s="31">
        <f t="shared" ref="Z4:Z13" si="23">(Y4-Y3)/Y3</f>
        <v>-0.007731958763</v>
      </c>
      <c r="AA4" s="41">
        <v>0.489</v>
      </c>
      <c r="AB4" s="31">
        <f t="shared" ref="AB4:AB13" si="24">(AA4-AA3)/AA4</f>
        <v>-0.09406952965</v>
      </c>
      <c r="AC4" s="26">
        <f t="shared" si="10"/>
        <v>0.281</v>
      </c>
      <c r="AD4" s="27">
        <f t="shared" ref="AD4:AG4" si="11">AD5+($AH4-$AH5)/4</f>
        <v>0.08698221039</v>
      </c>
      <c r="AE4" s="27">
        <f t="shared" si="11"/>
        <v>0.07098221039</v>
      </c>
      <c r="AF4" s="27">
        <f t="shared" si="11"/>
        <v>0.07998221039</v>
      </c>
      <c r="AG4" s="27">
        <f t="shared" si="11"/>
        <v>0.07698221039</v>
      </c>
      <c r="AH4" s="23">
        <f t="shared" si="12"/>
        <v>0.3149288416</v>
      </c>
      <c r="AI4" s="39">
        <f t="shared" si="13"/>
        <v>0.3186562722</v>
      </c>
      <c r="AJ4" s="29">
        <f t="shared" si="14"/>
        <v>1924.003071</v>
      </c>
      <c r="AK4" s="30" t="str">
        <f t="shared" si="15"/>
        <v>D-</v>
      </c>
      <c r="AL4" s="30" t="str">
        <f t="shared" si="16"/>
        <v>0.32D-</v>
      </c>
    </row>
    <row r="5">
      <c r="A5" s="1">
        <v>2021.0</v>
      </c>
      <c r="B5" s="21">
        <f>96.14*1000000000000</f>
        <v>96140000000000</v>
      </c>
      <c r="C5" s="24">
        <f t="shared" si="17"/>
        <v>0.1343952802</v>
      </c>
      <c r="D5" s="22">
        <f>7.95*10^9</f>
        <v>7950000000</v>
      </c>
      <c r="E5" s="24">
        <f t="shared" si="18"/>
        <v>0.007604562738</v>
      </c>
      <c r="F5" s="33">
        <v>1.670647E12</v>
      </c>
      <c r="G5" s="24">
        <f t="shared" si="19"/>
        <v>0.131792614</v>
      </c>
      <c r="H5" s="32">
        <v>2.09550294E8</v>
      </c>
      <c r="I5" s="24">
        <f t="shared" si="20"/>
        <v>0.004262668508</v>
      </c>
      <c r="J5" s="23">
        <f t="shared" si="2"/>
        <v>0.01737723112</v>
      </c>
      <c r="K5" s="33">
        <v>3.098533E11</v>
      </c>
      <c r="L5" s="33">
        <v>3.192512E11</v>
      </c>
      <c r="M5" s="21">
        <f t="shared" si="3"/>
        <v>9397900000</v>
      </c>
      <c r="N5" s="24">
        <f t="shared" si="21"/>
        <v>0.05230214538</v>
      </c>
      <c r="O5" s="23">
        <f t="shared" si="4"/>
        <v>0.005625305645</v>
      </c>
      <c r="P5" s="31">
        <v>0.85</v>
      </c>
      <c r="Q5" s="24">
        <f t="shared" si="22"/>
        <v>-0.138804458</v>
      </c>
      <c r="R5" s="21">
        <f t="shared" si="5"/>
        <v>1420049950000</v>
      </c>
      <c r="S5" s="31">
        <v>0.0925</v>
      </c>
      <c r="T5" s="21">
        <f t="shared" si="6"/>
        <v>131354620375</v>
      </c>
      <c r="U5" s="23">
        <f t="shared" si="7"/>
        <v>0.078625</v>
      </c>
      <c r="V5" s="31">
        <v>0.0830166</v>
      </c>
      <c r="W5" s="21">
        <f t="shared" si="8"/>
        <v>7972.534746</v>
      </c>
      <c r="X5" s="25">
        <f t="shared" si="9"/>
        <v>7310.682018</v>
      </c>
      <c r="Y5" s="3">
        <v>0.768</v>
      </c>
      <c r="Z5" s="31">
        <f t="shared" si="23"/>
        <v>-0.002597402597</v>
      </c>
      <c r="AA5" s="41">
        <v>0.529</v>
      </c>
      <c r="AB5" s="31">
        <f t="shared" si="24"/>
        <v>0.07561436673</v>
      </c>
      <c r="AC5" s="26">
        <f t="shared" si="10"/>
        <v>0.239</v>
      </c>
      <c r="AD5" s="27">
        <f t="shared" ref="AD5:AG5" si="25">AD6+($AH5-$AH6)/4</f>
        <v>0.09112601094</v>
      </c>
      <c r="AE5" s="27">
        <f t="shared" si="25"/>
        <v>0.07512601094</v>
      </c>
      <c r="AF5" s="27">
        <f t="shared" si="25"/>
        <v>0.08412601094</v>
      </c>
      <c r="AG5" s="27">
        <f t="shared" si="25"/>
        <v>0.08112601094</v>
      </c>
      <c r="AH5" s="23">
        <f t="shared" si="12"/>
        <v>0.3315040438</v>
      </c>
      <c r="AI5" s="39">
        <f t="shared" si="13"/>
        <v>0.2758815805</v>
      </c>
      <c r="AJ5" s="29">
        <f t="shared" si="14"/>
        <v>1747.253002</v>
      </c>
      <c r="AK5" s="30" t="str">
        <f t="shared" si="15"/>
        <v>D-</v>
      </c>
      <c r="AL5" s="30" t="str">
        <f t="shared" si="16"/>
        <v>0.28D-</v>
      </c>
    </row>
    <row r="6">
      <c r="A6" s="1">
        <v>2022.0</v>
      </c>
      <c r="B6" s="21">
        <f>101.56*1000000000000</f>
        <v>101560000000000</v>
      </c>
      <c r="C6" s="24">
        <f t="shared" si="17"/>
        <v>0.05637611816</v>
      </c>
      <c r="D6" s="22">
        <f>8.02*10^9</f>
        <v>8020000000</v>
      </c>
      <c r="E6" s="24">
        <f t="shared" si="18"/>
        <v>0.008805031447</v>
      </c>
      <c r="F6" s="33">
        <v>1.951924E12</v>
      </c>
      <c r="G6" s="24">
        <f t="shared" si="19"/>
        <v>0.1683641128</v>
      </c>
      <c r="H6" s="32">
        <v>2.10306415E8</v>
      </c>
      <c r="I6" s="24">
        <f t="shared" si="20"/>
        <v>0.003608303217</v>
      </c>
      <c r="J6" s="23">
        <f t="shared" si="2"/>
        <v>0.01921941709</v>
      </c>
      <c r="K6" s="33">
        <v>3.744825E11</v>
      </c>
      <c r="L6" s="33">
        <v>3.831776E11</v>
      </c>
      <c r="M6" s="21">
        <f t="shared" si="3"/>
        <v>8695100000</v>
      </c>
      <c r="N6" s="24">
        <f t="shared" si="21"/>
        <v>-0.07478266421</v>
      </c>
      <c r="O6" s="23">
        <f t="shared" si="4"/>
        <v>0.004454630406</v>
      </c>
      <c r="P6" s="31">
        <v>0.791</v>
      </c>
      <c r="Q6" s="24">
        <f t="shared" si="22"/>
        <v>-0.06941176471</v>
      </c>
      <c r="R6" s="21">
        <f t="shared" si="5"/>
        <v>1543971884000</v>
      </c>
      <c r="S6" s="31">
        <v>0.1375</v>
      </c>
      <c r="T6" s="21">
        <f t="shared" si="6"/>
        <v>212296134050</v>
      </c>
      <c r="U6" s="23">
        <f t="shared" si="7"/>
        <v>0.1087625</v>
      </c>
      <c r="V6" s="31">
        <v>0.09280106</v>
      </c>
      <c r="W6" s="21">
        <f t="shared" si="8"/>
        <v>9281.33362</v>
      </c>
      <c r="X6" s="25">
        <f t="shared" si="9"/>
        <v>8420.016022</v>
      </c>
      <c r="Y6" s="3">
        <v>0.78</v>
      </c>
      <c r="Z6" s="31">
        <f t="shared" si="23"/>
        <v>0.015625</v>
      </c>
      <c r="AA6" s="41">
        <v>0.52</v>
      </c>
      <c r="AB6" s="31">
        <f t="shared" si="24"/>
        <v>-0.01730769231</v>
      </c>
      <c r="AC6" s="26">
        <f t="shared" si="10"/>
        <v>0.26</v>
      </c>
      <c r="AD6" s="27">
        <f t="shared" ref="AD6:AG6" si="26">AD7+($AH6-$AH7)/4</f>
        <v>0.09548790625</v>
      </c>
      <c r="AE6" s="27">
        <f t="shared" si="26"/>
        <v>0.07948790625</v>
      </c>
      <c r="AF6" s="27">
        <f t="shared" si="26"/>
        <v>0.08848790625</v>
      </c>
      <c r="AG6" s="27">
        <f t="shared" si="26"/>
        <v>0.08548790625</v>
      </c>
      <c r="AH6" s="23">
        <f t="shared" si="12"/>
        <v>0.348951625</v>
      </c>
      <c r="AI6" s="39">
        <f t="shared" si="13"/>
        <v>0.2638631725</v>
      </c>
      <c r="AJ6" s="29">
        <f t="shared" si="14"/>
        <v>2189.204166</v>
      </c>
      <c r="AK6" s="30" t="str">
        <f t="shared" si="15"/>
        <v>D-</v>
      </c>
      <c r="AL6" s="30" t="str">
        <f t="shared" si="16"/>
        <v>0.26D-</v>
      </c>
    </row>
    <row r="7">
      <c r="A7" s="1">
        <v>2023.0</v>
      </c>
      <c r="B7" s="21">
        <f>106.8*1000000000000</f>
        <v>106800000000000</v>
      </c>
      <c r="C7" s="24">
        <f t="shared" si="17"/>
        <v>0.05159511619</v>
      </c>
      <c r="D7" s="32">
        <f>8.09*10^9</f>
        <v>8090000000</v>
      </c>
      <c r="E7" s="24">
        <f t="shared" si="18"/>
        <v>0.008728179551</v>
      </c>
      <c r="F7" s="33">
        <v>2.191132E12</v>
      </c>
      <c r="G7" s="24">
        <f t="shared" si="19"/>
        <v>0.1225498534</v>
      </c>
      <c r="H7" s="32">
        <v>2.11140729E8</v>
      </c>
      <c r="I7" s="24">
        <f t="shared" si="20"/>
        <v>0.003967135287</v>
      </c>
      <c r="J7" s="23">
        <f t="shared" si="2"/>
        <v>0.02051621723</v>
      </c>
      <c r="K7" s="33">
        <v>3.439399E11</v>
      </c>
      <c r="L7" s="33">
        <v>3.937316E11</v>
      </c>
      <c r="M7" s="21">
        <f t="shared" si="3"/>
        <v>49791700000</v>
      </c>
      <c r="N7" s="24">
        <f t="shared" si="21"/>
        <v>4.726409127</v>
      </c>
      <c r="O7" s="23">
        <f t="shared" si="4"/>
        <v>0.02272419005</v>
      </c>
      <c r="P7" s="31">
        <v>0.83</v>
      </c>
      <c r="Q7" s="24">
        <f t="shared" si="22"/>
        <v>0.04930467762</v>
      </c>
      <c r="R7" s="21">
        <f t="shared" si="5"/>
        <v>1818639560000</v>
      </c>
      <c r="S7" s="31">
        <v>0.1175</v>
      </c>
      <c r="T7" s="21">
        <f t="shared" si="6"/>
        <v>213690148300</v>
      </c>
      <c r="U7" s="23">
        <f t="shared" si="7"/>
        <v>0.097525</v>
      </c>
      <c r="V7" s="31">
        <v>0.04593563</v>
      </c>
      <c r="W7" s="21">
        <f t="shared" si="8"/>
        <v>10377.59039</v>
      </c>
      <c r="X7" s="25">
        <f t="shared" si="9"/>
        <v>9900.889237</v>
      </c>
      <c r="Y7" s="30">
        <f>AVERAGE(Y6,Y9)</f>
        <v>0.783</v>
      </c>
      <c r="Z7" s="31">
        <f t="shared" si="23"/>
        <v>0.003846153846</v>
      </c>
      <c r="AA7" s="41">
        <v>0.516</v>
      </c>
      <c r="AB7" s="31">
        <f t="shared" si="24"/>
        <v>-0.007751937984</v>
      </c>
      <c r="AC7" s="26">
        <f t="shared" si="10"/>
        <v>0.267</v>
      </c>
      <c r="AD7" s="27">
        <f t="shared" ref="AD7:AG7" si="27">AD8+($AH7-$AH8)/4</f>
        <v>0.100079375</v>
      </c>
      <c r="AE7" s="27">
        <f t="shared" si="27"/>
        <v>0.084079375</v>
      </c>
      <c r="AF7" s="27">
        <f t="shared" si="27"/>
        <v>0.093079375</v>
      </c>
      <c r="AG7" s="27">
        <f t="shared" si="27"/>
        <v>0.090079375</v>
      </c>
      <c r="AH7" s="23">
        <f t="shared" si="12"/>
        <v>0.3673175</v>
      </c>
      <c r="AI7" s="39">
        <f t="shared" si="13"/>
        <v>0.3130329073</v>
      </c>
      <c r="AJ7" s="29">
        <f t="shared" si="14"/>
        <v>2643.537426</v>
      </c>
      <c r="AK7" s="30" t="str">
        <f t="shared" si="15"/>
        <v>D</v>
      </c>
      <c r="AL7" s="30" t="str">
        <f t="shared" si="16"/>
        <v>0.31D</v>
      </c>
    </row>
    <row r="8">
      <c r="A8" s="1">
        <v>2024.0</v>
      </c>
      <c r="B8" s="21">
        <f>112.6*1000000000000</f>
        <v>112600000000000</v>
      </c>
      <c r="C8" s="24">
        <f t="shared" si="17"/>
        <v>0.0543071161</v>
      </c>
      <c r="D8" s="32">
        <v>8.161972572E9</v>
      </c>
      <c r="E8" s="24">
        <f t="shared" si="18"/>
        <v>0.008896486032</v>
      </c>
      <c r="F8" s="33">
        <v>2.185822E12</v>
      </c>
      <c r="G8" s="24">
        <f t="shared" si="19"/>
        <v>-0.002423404888</v>
      </c>
      <c r="H8" s="32">
        <v>2.11998573E8</v>
      </c>
      <c r="I8" s="24">
        <f t="shared" si="20"/>
        <v>0.004062901573</v>
      </c>
      <c r="J8" s="23">
        <f t="shared" si="2"/>
        <v>0.01941227353</v>
      </c>
      <c r="K8" s="33">
        <v>3.857089E11</v>
      </c>
      <c r="L8" s="33">
        <v>3.921054E11</v>
      </c>
      <c r="M8" s="21">
        <f t="shared" si="3"/>
        <v>6396500000</v>
      </c>
      <c r="N8" s="24">
        <f t="shared" si="21"/>
        <v>-0.871534814</v>
      </c>
      <c r="O8" s="23">
        <f t="shared" si="4"/>
        <v>0.002926359054</v>
      </c>
      <c r="P8" s="31">
        <v>0.819</v>
      </c>
      <c r="Q8" s="24">
        <f t="shared" si="22"/>
        <v>-0.01325301205</v>
      </c>
      <c r="R8" s="21">
        <f t="shared" si="5"/>
        <v>1790188218000</v>
      </c>
      <c r="S8" s="31">
        <v>0.1225</v>
      </c>
      <c r="T8" s="21">
        <f t="shared" si="6"/>
        <v>219298056705</v>
      </c>
      <c r="U8" s="23">
        <f t="shared" si="7"/>
        <v>0.1003275</v>
      </c>
      <c r="V8" s="31">
        <v>0.04367464</v>
      </c>
      <c r="W8" s="21">
        <f t="shared" si="8"/>
        <v>10310.55053</v>
      </c>
      <c r="X8" s="25">
        <f t="shared" si="9"/>
        <v>9860.240951</v>
      </c>
      <c r="Y8" s="44">
        <f>AVERAGE(Y7,Y9)</f>
        <v>0.7845</v>
      </c>
      <c r="Z8" s="31">
        <f t="shared" si="23"/>
        <v>0.001915708812</v>
      </c>
      <c r="AA8" s="41">
        <v>0.516</v>
      </c>
      <c r="AB8" s="31">
        <f t="shared" si="24"/>
        <v>0</v>
      </c>
      <c r="AC8" s="26">
        <f t="shared" si="10"/>
        <v>0.2685</v>
      </c>
      <c r="AD8" s="27">
        <f t="shared" ref="AD8:AG8" si="28">AD9+($AH8-$AH9)/4</f>
        <v>0.1049125</v>
      </c>
      <c r="AE8" s="27">
        <f t="shared" si="28"/>
        <v>0.0889125</v>
      </c>
      <c r="AF8" s="27">
        <f t="shared" si="28"/>
        <v>0.0979125</v>
      </c>
      <c r="AG8" s="27">
        <f t="shared" si="28"/>
        <v>0.0949125</v>
      </c>
      <c r="AH8" s="23">
        <f t="shared" si="12"/>
        <v>0.38665</v>
      </c>
      <c r="AI8" s="39">
        <f t="shared" si="13"/>
        <v>0.3086611326</v>
      </c>
      <c r="AJ8" s="29">
        <f t="shared" si="14"/>
        <v>2647.474695</v>
      </c>
      <c r="AK8" s="30" t="str">
        <f t="shared" si="15"/>
        <v>D</v>
      </c>
      <c r="AL8" s="30" t="str">
        <f t="shared" si="16"/>
        <v>0.31D</v>
      </c>
    </row>
    <row r="9">
      <c r="A9" s="1">
        <v>2025.0</v>
      </c>
      <c r="B9" s="33">
        <v>1.13795678E14</v>
      </c>
      <c r="C9" s="24">
        <f t="shared" si="17"/>
        <v>0.01061880995</v>
      </c>
      <c r="D9" s="32">
        <v>8.23161307E9</v>
      </c>
      <c r="E9" s="24">
        <f t="shared" si="18"/>
        <v>0.008532312181</v>
      </c>
      <c r="F9" s="33">
        <v>2.126E12</v>
      </c>
      <c r="G9" s="24">
        <f t="shared" si="19"/>
        <v>-0.02736819375</v>
      </c>
      <c r="H9" s="32">
        <v>2.126E8</v>
      </c>
      <c r="I9" s="24">
        <f t="shared" si="20"/>
        <v>0.002836938907</v>
      </c>
      <c r="J9" s="23">
        <f t="shared" si="2"/>
        <v>0.01868260761</v>
      </c>
      <c r="K9" s="33">
        <f>600000000000/2</f>
        <v>300000000000</v>
      </c>
      <c r="L9" s="36">
        <f t="shared" ref="L9:L14" si="29">K9+M9</f>
        <v>374000000000</v>
      </c>
      <c r="M9" s="33">
        <v>7.4E10</v>
      </c>
      <c r="N9" s="24">
        <f t="shared" si="21"/>
        <v>10.5688267</v>
      </c>
      <c r="O9" s="23">
        <f t="shared" si="4"/>
        <v>0.03480714958</v>
      </c>
      <c r="P9" s="24">
        <f>R9/F9</f>
        <v>0.8728</v>
      </c>
      <c r="Q9" s="24">
        <f t="shared" si="22"/>
        <v>0.06568986569</v>
      </c>
      <c r="R9" s="33">
        <v>1.8555728E12</v>
      </c>
      <c r="S9" s="31">
        <v>0.15</v>
      </c>
      <c r="T9" s="21">
        <f t="shared" si="6"/>
        <v>278335920000</v>
      </c>
      <c r="U9" s="23">
        <f t="shared" si="7"/>
        <v>0.13092</v>
      </c>
      <c r="V9" s="31">
        <v>0.0437</v>
      </c>
      <c r="W9" s="21">
        <f t="shared" si="8"/>
        <v>10000</v>
      </c>
      <c r="X9" s="25">
        <f t="shared" si="9"/>
        <v>9563</v>
      </c>
      <c r="Y9" s="43">
        <v>0.786</v>
      </c>
      <c r="Z9" s="31">
        <f t="shared" si="23"/>
        <v>0.001912045889</v>
      </c>
      <c r="AA9" s="41">
        <v>0.516</v>
      </c>
      <c r="AB9" s="31">
        <f t="shared" si="24"/>
        <v>0</v>
      </c>
      <c r="AC9" s="26">
        <f t="shared" si="10"/>
        <v>0.27</v>
      </c>
      <c r="AD9" s="31">
        <v>0.11</v>
      </c>
      <c r="AE9" s="31">
        <v>0.094</v>
      </c>
      <c r="AF9" s="31">
        <v>0.103</v>
      </c>
      <c r="AG9" s="31">
        <v>0.1</v>
      </c>
      <c r="AH9" s="23">
        <f>SUM(AD9:AG9)</f>
        <v>0.407</v>
      </c>
      <c r="AI9" s="39">
        <f t="shared" si="13"/>
        <v>0.3295697572</v>
      </c>
      <c r="AJ9" s="29">
        <f t="shared" si="14"/>
        <v>2582.01</v>
      </c>
      <c r="AK9" s="30" t="str">
        <f t="shared" si="15"/>
        <v>D</v>
      </c>
      <c r="AL9" s="30" t="str">
        <f t="shared" si="16"/>
        <v>0.33D</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2250260162496</v>
      </c>
      <c r="G10" s="24">
        <f t="shared" si="19"/>
        <v>0.05844786571</v>
      </c>
      <c r="H10" s="22">
        <f>AVERAGE(FORECAST(A10,H3:H9,$A$3:$A$9),H9*(AVERAGE(I4:I9)+1))</f>
        <v>213550044.4</v>
      </c>
      <c r="I10" s="24">
        <f t="shared" si="20"/>
        <v>0.00446869409</v>
      </c>
      <c r="J10" s="35">
        <f t="shared" si="2"/>
        <v>0.01874220179</v>
      </c>
      <c r="K10" s="36">
        <f>FORECAST(A10,K3:K9,A3:A9)</f>
        <v>376039728571</v>
      </c>
      <c r="L10" s="36">
        <f t="shared" si="29"/>
        <v>438708414286</v>
      </c>
      <c r="M10" s="21">
        <f>FORECAST(A10,M3:M9,$A$3:$A$9)</f>
        <v>62668685714</v>
      </c>
      <c r="N10" s="24">
        <f t="shared" si="21"/>
        <v>-0.1531258687</v>
      </c>
      <c r="O10" s="24">
        <f t="shared" si="4"/>
        <v>0.02784952903</v>
      </c>
      <c r="P10" s="24">
        <f>AVERAGE(FORECAST(A10,P3:P9,$A$3:$A$9),P9*(AVERAGE(Q4:Q9)+1))</f>
        <v>0.8306041723</v>
      </c>
      <c r="Q10" s="24">
        <f t="shared" si="22"/>
        <v>-0.04834535709</v>
      </c>
      <c r="R10" s="21">
        <f t="shared" ref="R10:R14" si="31">P10*F10</f>
        <v>1869075479804</v>
      </c>
      <c r="S10" s="24">
        <f>FORECAST(A10,S3:S9,$A$3:$A$9)</f>
        <v>0.17</v>
      </c>
      <c r="T10" s="21">
        <f t="shared" si="6"/>
        <v>317742831567</v>
      </c>
      <c r="U10" s="24">
        <f t="shared" si="7"/>
        <v>0.1412027093</v>
      </c>
      <c r="V10" s="24">
        <f>FORECAST(A10,V3:V9,$A$3:$A$9)</f>
        <v>0.05481700571</v>
      </c>
      <c r="W10" s="21">
        <f t="shared" si="8"/>
        <v>10537.39028</v>
      </c>
      <c r="X10" s="21">
        <f t="shared" si="9"/>
        <v>9959.7621</v>
      </c>
      <c r="Y10" s="37">
        <f>AVERAGE(FORECAST(A10,Y3:Y9,$A$3:$A$9),Y9*(AVERAGE(Z4:Z9)+1))</f>
        <v>0.7882423625</v>
      </c>
      <c r="Z10" s="31">
        <f t="shared" si="23"/>
        <v>0.002852878478</v>
      </c>
      <c r="AA10" s="38">
        <f>AVERAGE(FORECAST(A10,AA3:AA9,$A$3:$A$9),AA9*(AVERAGE(AB4:AB9)+1))</f>
        <v>0.5136288639</v>
      </c>
      <c r="AB10" s="31">
        <f t="shared" si="24"/>
        <v>-0.00461643859</v>
      </c>
      <c r="AC10" s="37">
        <f t="shared" si="10"/>
        <v>0.2746134986</v>
      </c>
      <c r="AD10" s="27">
        <f t="shared" ref="AD10:AG10" si="30">AD9+($AH10-$AH9)/4</f>
        <v>0.1150875</v>
      </c>
      <c r="AE10" s="27">
        <f t="shared" si="30"/>
        <v>0.0990875</v>
      </c>
      <c r="AF10" s="27">
        <f t="shared" si="30"/>
        <v>0.1080875</v>
      </c>
      <c r="AG10" s="27">
        <f t="shared" si="30"/>
        <v>0.1050875</v>
      </c>
      <c r="AH10" s="24">
        <f t="shared" ref="AH10:AH14" si="33">AH9*1.05</f>
        <v>0.42735</v>
      </c>
      <c r="AI10" s="38">
        <f t="shared" si="13"/>
        <v>0.3327390215</v>
      </c>
      <c r="AJ10" s="21">
        <f t="shared" si="14"/>
        <v>2735.085115</v>
      </c>
      <c r="AK10" s="30" t="str">
        <f t="shared" si="15"/>
        <v>D</v>
      </c>
      <c r="AL10" s="30" t="str">
        <f t="shared" si="16"/>
        <v>0.33D</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2351950417757</v>
      </c>
      <c r="G11" s="24">
        <f t="shared" si="19"/>
        <v>0.04519044373</v>
      </c>
      <c r="H11" s="22">
        <f>AVERAGE(FORECAST($A11,H3:H10,$A3:$A10),H10*(AVERAGE(I4:I10)+1))</f>
        <v>214435916.8</v>
      </c>
      <c r="I11" s="24">
        <f t="shared" si="20"/>
        <v>0.004148313207</v>
      </c>
      <c r="J11" s="35">
        <f t="shared" si="2"/>
        <v>0.01870553371</v>
      </c>
      <c r="K11" s="36">
        <f>FORECAST(A11,K3:K10,A3:A10)</f>
        <v>390601064286</v>
      </c>
      <c r="L11" s="21">
        <f t="shared" si="29"/>
        <v>463753342857</v>
      </c>
      <c r="M11" s="21">
        <f>FORECAST(A11,M3:M10,$A3:$A10)</f>
        <v>73152278571</v>
      </c>
      <c r="N11" s="24">
        <f t="shared" si="21"/>
        <v>0.1672859856</v>
      </c>
      <c r="O11" s="24">
        <f t="shared" si="4"/>
        <v>0.03110281493</v>
      </c>
      <c r="P11" s="24">
        <f>AVERAGE(FORECAST($A11,P3:P10,$A3:$A10),P10*(AVERAGE(Q4:Q10)+1))</f>
        <v>0.8070475326</v>
      </c>
      <c r="Q11" s="24">
        <f t="shared" si="22"/>
        <v>-0.02836084923</v>
      </c>
      <c r="R11" s="21">
        <f t="shared" si="31"/>
        <v>1898135781528</v>
      </c>
      <c r="S11" s="24">
        <f>FORECAST($A11,S3:S10,$A3:$A10)</f>
        <v>0.1873214286</v>
      </c>
      <c r="T11" s="21">
        <f t="shared" si="6"/>
        <v>355561506218</v>
      </c>
      <c r="U11" s="24">
        <f t="shared" si="7"/>
        <v>0.1511772967</v>
      </c>
      <c r="V11" s="24">
        <f>FORECAST($A11,V3:V10,$A3:$A10)</f>
        <v>0.05500070821</v>
      </c>
      <c r="W11" s="21">
        <f t="shared" si="8"/>
        <v>10968.08059</v>
      </c>
      <c r="X11" s="21">
        <f t="shared" si="9"/>
        <v>10364.82839</v>
      </c>
      <c r="Y11" s="37">
        <f>AVERAGE(FORECAST($A11,Y3:Y10,$A3:$A10),Y10*(AVERAGE(Z4:Z10)+1))</f>
        <v>0.7905904794</v>
      </c>
      <c r="Z11" s="31">
        <f t="shared" si="23"/>
        <v>0.002978927644</v>
      </c>
      <c r="AA11" s="38">
        <f>AVERAGE(FORECAST($A11,AA3:AA10,$A3:$A10),AA10*(AVERAGE(AB4:AB10)+1))</f>
        <v>0.5119201058</v>
      </c>
      <c r="AB11" s="31">
        <f t="shared" si="24"/>
        <v>-0.003337939046</v>
      </c>
      <c r="AC11" s="37">
        <f t="shared" si="10"/>
        <v>0.2786703737</v>
      </c>
      <c r="AD11" s="27">
        <f t="shared" ref="AD11:AG11" si="32">AD10+($AH11-$AH10)/4</f>
        <v>0.120429375</v>
      </c>
      <c r="AE11" s="27">
        <f t="shared" si="32"/>
        <v>0.104429375</v>
      </c>
      <c r="AF11" s="27">
        <f t="shared" si="32"/>
        <v>0.113429375</v>
      </c>
      <c r="AG11" s="27">
        <f t="shared" si="32"/>
        <v>0.110429375</v>
      </c>
      <c r="AH11" s="24">
        <f t="shared" si="33"/>
        <v>0.4487175</v>
      </c>
      <c r="AI11" s="38">
        <f t="shared" si="13"/>
        <v>0.3473485519</v>
      </c>
      <c r="AJ11" s="21">
        <f t="shared" si="14"/>
        <v>2888.370601</v>
      </c>
      <c r="AK11" s="30" t="str">
        <f t="shared" si="15"/>
        <v>D</v>
      </c>
      <c r="AL11" s="30" t="str">
        <f t="shared" si="16"/>
        <v>0.35D</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2446323293071</v>
      </c>
      <c r="G12" s="24">
        <f t="shared" si="19"/>
        <v>0.0401253677</v>
      </c>
      <c r="H12" s="22">
        <f>AVERAGE(FORECAST($A12,H3:H11,$A3:$A11),H11*(AVERAGE(I4:I11)+1))</f>
        <v>215300449.2</v>
      </c>
      <c r="I12" s="24">
        <f t="shared" si="20"/>
        <v>0.004031658471</v>
      </c>
      <c r="J12" s="35">
        <f t="shared" si="2"/>
        <v>0.01864043714</v>
      </c>
      <c r="K12" s="36">
        <f>FORECAST(A12,K3:K11,A3:A11)</f>
        <v>405162400000</v>
      </c>
      <c r="L12" s="21">
        <f t="shared" si="29"/>
        <v>488798271429</v>
      </c>
      <c r="M12" s="21">
        <f>FORECAST(A12,M3:M11,$A3:$A11)</f>
        <v>83635871429</v>
      </c>
      <c r="N12" s="24">
        <f t="shared" si="21"/>
        <v>0.1433119113</v>
      </c>
      <c r="O12" s="24">
        <f t="shared" si="4"/>
        <v>0.03418839679</v>
      </c>
      <c r="P12" s="24">
        <f>AVERAGE(FORECAST($A12,P3:P11,$A3:$A11),P11*(AVERAGE(Q4:Q11)+1))</f>
        <v>0.7898236597</v>
      </c>
      <c r="Q12" s="24">
        <f t="shared" si="22"/>
        <v>-0.0213418321</v>
      </c>
      <c r="R12" s="21">
        <f t="shared" si="31"/>
        <v>1932164016127</v>
      </c>
      <c r="S12" s="24">
        <f>FORECAST($A12,S3:S11,$A3:$A11)</f>
        <v>0.2046428571</v>
      </c>
      <c r="T12" s="21">
        <f t="shared" si="6"/>
        <v>395403564729</v>
      </c>
      <c r="U12" s="24">
        <f t="shared" si="7"/>
        <v>0.1616317704</v>
      </c>
      <c r="V12" s="24">
        <f>FORECAST($A12,V3:V11,$A3:$A11)</f>
        <v>0.05518441071</v>
      </c>
      <c r="W12" s="21">
        <f t="shared" si="8"/>
        <v>11362.36967</v>
      </c>
      <c r="X12" s="21">
        <f t="shared" si="9"/>
        <v>10735.34399</v>
      </c>
      <c r="Y12" s="37">
        <f>AVERAGE(FORECAST($A12,Y3:Y11,$A3:$A11),Y11*(AVERAGE(Z4:Z11)+1))</f>
        <v>0.7929756168</v>
      </c>
      <c r="Z12" s="31">
        <f t="shared" si="23"/>
        <v>0.003016906297</v>
      </c>
      <c r="AA12" s="37">
        <f>AVERAGE(FORECAST($A12,AA3:AA11,$A3:$A11),AA11*(AVERAGE(AB4:AB11)+1))</f>
        <v>0.5104368648</v>
      </c>
      <c r="AB12" s="31">
        <f t="shared" si="24"/>
        <v>-0.002905826516</v>
      </c>
      <c r="AC12" s="37">
        <f t="shared" si="10"/>
        <v>0.282538752</v>
      </c>
      <c r="AD12" s="27">
        <f t="shared" ref="AD12:AG12" si="34">AD11+($AH12-$AH11)/4</f>
        <v>0.1260383438</v>
      </c>
      <c r="AE12" s="27">
        <f t="shared" si="34"/>
        <v>0.1100383438</v>
      </c>
      <c r="AF12" s="27">
        <f t="shared" si="34"/>
        <v>0.1190383438</v>
      </c>
      <c r="AG12" s="27">
        <f t="shared" si="34"/>
        <v>0.1160383438</v>
      </c>
      <c r="AH12" s="24">
        <f t="shared" si="33"/>
        <v>0.471153375</v>
      </c>
      <c r="AI12" s="38">
        <f t="shared" si="13"/>
        <v>0.3623504386</v>
      </c>
      <c r="AJ12" s="21">
        <f t="shared" si="14"/>
        <v>3033.150694</v>
      </c>
      <c r="AK12" s="30" t="str">
        <f t="shared" si="15"/>
        <v>D</v>
      </c>
      <c r="AL12" s="30" t="str">
        <f t="shared" si="16"/>
        <v>0.36D</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2538510628611</v>
      </c>
      <c r="G13" s="24">
        <f t="shared" si="19"/>
        <v>0.0376840362</v>
      </c>
      <c r="H13" s="22">
        <f>AVERAGE(FORECAST($A13,H3:H12,$A3:$A12),H12*(AVERAGE(I4:I12)+1))</f>
        <v>216157874.8</v>
      </c>
      <c r="I13" s="24">
        <f t="shared" si="20"/>
        <v>0.003982460616</v>
      </c>
      <c r="J13" s="35">
        <f t="shared" si="2"/>
        <v>0.01856824362</v>
      </c>
      <c r="K13" s="36">
        <f>FORECAST(A13,K3:K12,A3:A12)</f>
        <v>419723735714</v>
      </c>
      <c r="L13" s="21">
        <f t="shared" si="29"/>
        <v>513843200000</v>
      </c>
      <c r="M13" s="21">
        <f>FORECAST(A13,M3:M12,$A3:$A12)</f>
        <v>94119464286</v>
      </c>
      <c r="N13" s="24">
        <f t="shared" si="21"/>
        <v>0.1253480436</v>
      </c>
      <c r="O13" s="24">
        <f t="shared" si="4"/>
        <v>0.03707664771</v>
      </c>
      <c r="P13" s="24">
        <f>AVERAGE(FORECAST($A13,P3:P12,$A3:$A12),P12*(AVERAGE(Q4:Q12)+1))</f>
        <v>0.7748612918</v>
      </c>
      <c r="Q13" s="24">
        <f t="shared" si="22"/>
        <v>-0.01894393473</v>
      </c>
      <c r="R13" s="21">
        <f t="shared" si="31"/>
        <v>1966993625023</v>
      </c>
      <c r="S13" s="24">
        <f>FORECAST($A13,S3:S12,$A3:$A12)</f>
        <v>0.2219642857</v>
      </c>
      <c r="T13" s="21">
        <f t="shared" si="6"/>
        <v>436602334983</v>
      </c>
      <c r="U13" s="24">
        <f t="shared" si="7"/>
        <v>0.1719915332</v>
      </c>
      <c r="V13" s="24">
        <f>FORECAST($A13,V3:V12,$A3:$A12)</f>
        <v>0.05536811321</v>
      </c>
      <c r="W13" s="21">
        <f t="shared" si="8"/>
        <v>11743.78047</v>
      </c>
      <c r="X13" s="21">
        <f t="shared" si="9"/>
        <v>11093.54951</v>
      </c>
      <c r="Y13" s="37">
        <f>AVERAGE(FORECAST($A13,Y3:Y12,$A3:$A12),Y12*(AVERAGE(Z4:Z12)+1))</f>
        <v>0.795374846</v>
      </c>
      <c r="Z13" s="31">
        <f t="shared" si="23"/>
        <v>0.003025602714</v>
      </c>
      <c r="AA13" s="37">
        <f>AVERAGE(FORECAST($A13,AA3:AA12,$A3:$A12),AA12*(AVERAGE(AB4:AB12)+1))</f>
        <v>0.5090343936</v>
      </c>
      <c r="AB13" s="31">
        <f t="shared" si="24"/>
        <v>-0.002755160093</v>
      </c>
      <c r="AC13" s="37">
        <f t="shared" si="10"/>
        <v>0.2863404525</v>
      </c>
      <c r="AD13" s="27">
        <f t="shared" ref="AD13:AG13" si="35">AD12+($AH13-$AH12)/4</f>
        <v>0.1319277609</v>
      </c>
      <c r="AE13" s="27">
        <f t="shared" si="35"/>
        <v>0.1159277609</v>
      </c>
      <c r="AF13" s="27">
        <f t="shared" si="35"/>
        <v>0.1249277609</v>
      </c>
      <c r="AG13" s="27">
        <f t="shared" si="35"/>
        <v>0.1219277609</v>
      </c>
      <c r="AH13" s="24">
        <f t="shared" si="33"/>
        <v>0.4947110438</v>
      </c>
      <c r="AI13" s="38">
        <f t="shared" si="13"/>
        <v>0.3783644019</v>
      </c>
      <c r="AJ13" s="21">
        <f t="shared" si="14"/>
        <v>3176.531985</v>
      </c>
      <c r="AK13" s="30" t="str">
        <f t="shared" si="15"/>
        <v>D</v>
      </c>
      <c r="AL13" s="30" t="str">
        <f t="shared" si="16"/>
        <v>0.38D</v>
      </c>
    </row>
    <row r="14">
      <c r="A14" s="34">
        <v>2030.0</v>
      </c>
      <c r="B14" s="21">
        <f>AVERAGE(FORECAST($A14,B5:B13,$A5:$A13),B13*(AVERAGE(C6:C13)+1))</f>
        <v>141834754671550</v>
      </c>
      <c r="C14" s="24"/>
      <c r="D14" s="22">
        <f>AVERAGE(FORECAST($A14,D5:D13,$A5:$A13),D13*(AVERAGE(E6:E13)+1))</f>
        <v>8586617399</v>
      </c>
      <c r="E14" s="24"/>
      <c r="F14" s="21">
        <f>AVERAGE(FORECAST($A14,F5:F13,$A5:$A13),F13*(AVERAGE(G6:G13)+1))</f>
        <v>2657145175791</v>
      </c>
      <c r="H14" s="22">
        <f>AVERAGE(FORECAST($A14,H5:H13,$A5:$A13),H13*(AVERAGE(I6:I13)+1))</f>
        <v>216955069.7</v>
      </c>
      <c r="J14" s="35">
        <f t="shared" si="2"/>
        <v>0.01873409082</v>
      </c>
      <c r="K14" s="36">
        <f>FORECAST(A14,K3:K13,A3:A13)</f>
        <v>434285071429</v>
      </c>
      <c r="L14" s="21">
        <f t="shared" si="29"/>
        <v>538888128571</v>
      </c>
      <c r="M14" s="21">
        <f>FORECAST(A14,M3:M13,$A3:$A13)</f>
        <v>104603057143</v>
      </c>
      <c r="N14" s="24">
        <f t="shared" si="21"/>
        <v>0.1113860235</v>
      </c>
      <c r="O14" s="24">
        <f t="shared" si="4"/>
        <v>0.03936670758</v>
      </c>
      <c r="P14" s="24">
        <f>AVERAGE(FORECAST($A14,P3:P13,$A3:$A13),P13*(AVERAGE(Q4:Q13)+1))</f>
        <v>0.7607517733</v>
      </c>
      <c r="R14" s="21">
        <f t="shared" si="31"/>
        <v>2021427904330</v>
      </c>
      <c r="S14" s="24">
        <f>FORECAST($A14,S3:S13,$A3:$A13)</f>
        <v>0.2392857143</v>
      </c>
      <c r="T14" s="21">
        <f t="shared" si="6"/>
        <v>483698819965</v>
      </c>
      <c r="U14" s="24">
        <f t="shared" si="7"/>
        <v>0.1820370315</v>
      </c>
      <c r="V14" s="24">
        <f>FORECAST($A14,V3:V13,$A3:$A13)</f>
        <v>0.05555181571</v>
      </c>
      <c r="W14" s="21">
        <f t="shared" si="8"/>
        <v>12247.4445</v>
      </c>
      <c r="X14" s="21">
        <f t="shared" si="9"/>
        <v>11567.07672</v>
      </c>
      <c r="Y14" s="37">
        <f>AVERAGE(FORECAST($A14,Y3:Y13,$A3:$A13),Y13*(AVERAGE(Z4:Z13)+1))</f>
        <v>0.797780115</v>
      </c>
      <c r="AA14" s="37">
        <f>AVERAGE(FORECAST($A14,AA3:AA13,$A3:$A13),AA13*(AVERAGE(AB4:AB13)+1))</f>
        <v>0.5076623502</v>
      </c>
      <c r="AC14" s="37">
        <f t="shared" si="10"/>
        <v>0.2901177648</v>
      </c>
      <c r="AD14" s="27">
        <f t="shared" ref="AD14:AG14" si="36">AD13+($AH14-$AH13)/4</f>
        <v>0.138111649</v>
      </c>
      <c r="AE14" s="27">
        <f t="shared" si="36"/>
        <v>0.122111649</v>
      </c>
      <c r="AF14" s="27">
        <f t="shared" si="36"/>
        <v>0.131111649</v>
      </c>
      <c r="AG14" s="27">
        <f t="shared" si="36"/>
        <v>0.128111649</v>
      </c>
      <c r="AH14" s="24">
        <f t="shared" si="33"/>
        <v>0.5194465959</v>
      </c>
      <c r="AI14" s="38">
        <f t="shared" si="13"/>
        <v>0.3955103629</v>
      </c>
      <c r="AJ14" s="21">
        <f t="shared" si="14"/>
        <v>3355.814444</v>
      </c>
      <c r="AK14" s="30" t="str">
        <f t="shared" si="15"/>
        <v>D</v>
      </c>
      <c r="AL14" s="30" t="str">
        <f t="shared" si="16"/>
        <v>0.4D</v>
      </c>
    </row>
    <row r="17">
      <c r="F17" s="45"/>
      <c r="G17" s="45"/>
      <c r="H17" s="45"/>
      <c r="I17" s="45"/>
      <c r="J17" s="45"/>
      <c r="K17" s="45"/>
      <c r="L17" s="45"/>
      <c r="M17" s="45"/>
      <c r="N17" s="45"/>
      <c r="O17" s="45"/>
    </row>
    <row r="18">
      <c r="F18" s="45"/>
      <c r="K18" s="46"/>
      <c r="L18" s="46"/>
      <c r="M18" s="46"/>
    </row>
    <row r="19">
      <c r="F19" s="45"/>
      <c r="K19" s="46"/>
      <c r="L19" s="46"/>
      <c r="M19" s="46"/>
    </row>
    <row r="20">
      <c r="F20" s="45"/>
      <c r="K20" s="46"/>
      <c r="L20" s="46"/>
      <c r="M20" s="46"/>
    </row>
    <row r="21">
      <c r="F21" s="45"/>
      <c r="K21" s="46"/>
      <c r="L21" s="46"/>
      <c r="M21" s="46"/>
    </row>
    <row r="22">
      <c r="F22" s="45"/>
      <c r="K22" s="46"/>
      <c r="L22" s="46"/>
      <c r="M22" s="46"/>
    </row>
    <row r="23">
      <c r="F23" s="45"/>
      <c r="K23" s="46"/>
      <c r="L23" s="46"/>
      <c r="M23" s="46"/>
    </row>
  </sheetData>
  <mergeCells count="1">
    <mergeCell ref="B1:AL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23.63"/>
    <col customWidth="1" min="15" max="15" width="18.38"/>
    <col customWidth="1" min="17" max="17" width="18.5"/>
    <col customWidth="1" min="18" max="18" width="16.75"/>
    <col customWidth="1" min="20" max="20" width="14.38"/>
    <col customWidth="1" min="21" max="21" width="20.5"/>
    <col customWidth="1" min="36" max="36" width="19.88"/>
    <col customWidth="1" min="37" max="37" width="16.88"/>
  </cols>
  <sheetData>
    <row r="1">
      <c r="A1" s="1" t="s">
        <v>88</v>
      </c>
      <c r="B1" s="18" t="s">
        <v>124</v>
      </c>
      <c r="AM1" s="18"/>
      <c r="AN1" s="18"/>
      <c r="AO1" s="18"/>
      <c r="AP1" s="18"/>
      <c r="AQ1" s="18"/>
      <c r="AR1" s="18"/>
    </row>
    <row r="2">
      <c r="A2" s="1" t="s">
        <v>90</v>
      </c>
      <c r="B2" s="1" t="s">
        <v>20</v>
      </c>
      <c r="C2" s="1" t="s">
        <v>91</v>
      </c>
      <c r="D2" s="1" t="s">
        <v>92</v>
      </c>
      <c r="E2" s="1" t="s">
        <v>93</v>
      </c>
      <c r="F2" s="1" t="s">
        <v>19</v>
      </c>
      <c r="G2" s="1" t="s">
        <v>94</v>
      </c>
      <c r="H2" s="1" t="s">
        <v>95</v>
      </c>
      <c r="I2" s="1" t="s">
        <v>96</v>
      </c>
      <c r="J2" s="19" t="s">
        <v>97</v>
      </c>
      <c r="K2" s="1" t="s">
        <v>98</v>
      </c>
      <c r="L2" s="1" t="s">
        <v>99</v>
      </c>
      <c r="M2" s="1" t="s">
        <v>100</v>
      </c>
      <c r="N2" s="1" t="s">
        <v>101</v>
      </c>
      <c r="O2" s="19" t="s">
        <v>102</v>
      </c>
      <c r="P2" s="1" t="s">
        <v>103</v>
      </c>
      <c r="Q2" s="1" t="s">
        <v>104</v>
      </c>
      <c r="R2" s="1" t="s">
        <v>105</v>
      </c>
      <c r="S2" s="1" t="s">
        <v>106</v>
      </c>
      <c r="T2" s="1" t="s">
        <v>107</v>
      </c>
      <c r="U2" s="19" t="s">
        <v>108</v>
      </c>
      <c r="V2" s="1" t="s">
        <v>25</v>
      </c>
      <c r="W2" s="1" t="s">
        <v>109</v>
      </c>
      <c r="X2" s="19" t="s">
        <v>5</v>
      </c>
      <c r="Y2" s="1" t="s">
        <v>29</v>
      </c>
      <c r="Z2" s="1" t="s">
        <v>110</v>
      </c>
      <c r="AA2" s="1" t="s">
        <v>30</v>
      </c>
      <c r="AB2" s="1" t="s">
        <v>111</v>
      </c>
      <c r="AC2" s="19" t="s">
        <v>9</v>
      </c>
      <c r="AD2" s="1" t="s">
        <v>112</v>
      </c>
      <c r="AE2" s="1" t="s">
        <v>113</v>
      </c>
      <c r="AF2" s="1" t="s">
        <v>114</v>
      </c>
      <c r="AG2" s="1" t="s">
        <v>115</v>
      </c>
      <c r="AH2" s="19" t="s">
        <v>116</v>
      </c>
      <c r="AI2" s="20" t="s">
        <v>117</v>
      </c>
      <c r="AJ2" s="20" t="s">
        <v>2</v>
      </c>
      <c r="AK2" s="1" t="s">
        <v>118</v>
      </c>
      <c r="AL2" s="1" t="s">
        <v>119</v>
      </c>
      <c r="AM2" s="1"/>
      <c r="AN2" s="1"/>
      <c r="AO2" s="1"/>
      <c r="AP2" s="1"/>
      <c r="AQ2" s="1"/>
      <c r="AR2" s="1"/>
    </row>
    <row r="3">
      <c r="A3" s="1">
        <v>2019.0</v>
      </c>
      <c r="B3" s="21">
        <f>87.7*1000000000000</f>
        <v>87700000000000</v>
      </c>
      <c r="C3" s="21"/>
      <c r="D3" s="22">
        <f>7.81*10^9</f>
        <v>7810000000</v>
      </c>
      <c r="E3" s="22"/>
      <c r="F3" s="21">
        <v>7.758531E11</v>
      </c>
      <c r="G3" s="21"/>
      <c r="H3" s="32">
        <v>8.257944E7</v>
      </c>
      <c r="I3" s="22"/>
      <c r="J3" s="23">
        <f t="shared" ref="J3:J14" si="2">F3/B3</f>
        <v>0.008846671608</v>
      </c>
      <c r="K3" s="21">
        <v>2.292536E11</v>
      </c>
      <c r="L3" s="21">
        <v>2.562634E11</v>
      </c>
      <c r="M3" s="21">
        <f t="shared" ref="M3:M8" si="3">L3-K3</f>
        <v>27009800000</v>
      </c>
      <c r="N3" s="24"/>
      <c r="O3" s="23">
        <f t="shared" ref="O3:O14" si="4">M3/F3</f>
        <v>0.03481303355</v>
      </c>
      <c r="P3" s="31">
        <v>0.33460074</v>
      </c>
      <c r="Q3" s="24"/>
      <c r="R3" s="21">
        <f t="shared" ref="R3:R8" si="5">P3*F3</f>
        <v>259601021391</v>
      </c>
      <c r="S3" s="31">
        <v>0.24</v>
      </c>
      <c r="T3" s="21">
        <f t="shared" ref="T3:T14" si="6">R3*S3</f>
        <v>62304245134</v>
      </c>
      <c r="U3" s="23">
        <f t="shared" ref="U3:U14" si="7">T3/F3</f>
        <v>0.0803041776</v>
      </c>
      <c r="V3" s="31">
        <v>0.15176822</v>
      </c>
      <c r="W3" s="21">
        <f t="shared" ref="W3:W14" si="8">F3/H3</f>
        <v>9395.233244</v>
      </c>
      <c r="X3" s="25">
        <f t="shared" ref="X3:X14" si="9">W3*(1-V3)</f>
        <v>7969.335418</v>
      </c>
      <c r="Y3" s="3">
        <v>0.842</v>
      </c>
      <c r="Z3" s="3"/>
      <c r="AA3" s="41">
        <v>0.43799999999999994</v>
      </c>
      <c r="AB3" s="3"/>
      <c r="AC3" s="26">
        <f t="shared" ref="AC3:AC14" si="10">Y3-AA3</f>
        <v>0.404</v>
      </c>
      <c r="AD3" s="27">
        <f t="shared" ref="AD3:AG3" si="1">AD4+($AH3-$AH4)/4</f>
        <v>0.1695025945</v>
      </c>
      <c r="AE3" s="27">
        <f t="shared" si="1"/>
        <v>0.02150259447</v>
      </c>
      <c r="AF3" s="27">
        <f t="shared" si="1"/>
        <v>0.07450259447</v>
      </c>
      <c r="AG3" s="27">
        <f t="shared" si="1"/>
        <v>0.01750259447</v>
      </c>
      <c r="AH3" s="23">
        <f t="shared" ref="AH3:AH8" si="12">AH4*95%</f>
        <v>0.2830103779</v>
      </c>
      <c r="AI3" s="39">
        <f t="shared" ref="AI3:AI14" si="13">AH3+J3+O3-U3</f>
        <v>0.2463659054</v>
      </c>
      <c r="AJ3" s="29">
        <f t="shared" ref="AJ3:AJ14" si="14">X3*AC3</f>
        <v>3219.611509</v>
      </c>
      <c r="AK3" s="30" t="str">
        <f t="shared" ref="AK3:AK14" si="15">IFS(
AJ3&lt;=2500,"D-",
AJ3&lt;=5000,"D",
AJ3&lt;=10000,"D+",
AJ3&lt;=12500,"C-",
AJ3&lt;=15000,"C",
AJ3&lt;=20000,"C+",
AJ3&lt;=25000,"B-",
AJ3&lt;=30000,"B",
AJ3&lt;=35000,"B+",
AJ3&lt;=40000,"A-",
AJ3&lt;=50000,"A",
AJ3&lt;=100000,"A+",
TRUE,"Out of range"
)
</f>
        <v>D</v>
      </c>
      <c r="AL3" s="30" t="str">
        <f t="shared" ref="AL3:AL14" si="16">CONCAT(ROUND(AI3,2),AK3)</f>
        <v>0.25D</v>
      </c>
    </row>
    <row r="4">
      <c r="A4" s="1">
        <v>2020.0</v>
      </c>
      <c r="B4" s="21">
        <f>84.75*1000000000000</f>
        <v>84750000000000</v>
      </c>
      <c r="C4" s="24">
        <f t="shared" ref="C4:C13" si="17">(B4-B3)/B3</f>
        <v>-0.03363740023</v>
      </c>
      <c r="D4" s="22">
        <f>7.89*10^9</f>
        <v>7890000000</v>
      </c>
      <c r="E4" s="24">
        <f t="shared" ref="E4:E13" si="18">(D4-D3)/D3</f>
        <v>0.01024327785</v>
      </c>
      <c r="F4" s="21">
        <v>7.336282E11</v>
      </c>
      <c r="G4" s="24">
        <f t="shared" ref="G4:G13" si="19">(F4-F3)/F3</f>
        <v>-0.05442383358</v>
      </c>
      <c r="H4" s="32">
        <v>8.338468E7</v>
      </c>
      <c r="I4" s="24">
        <f t="shared" ref="I4:I13" si="20">(H4-H3)/H3</f>
        <v>0.00975109543</v>
      </c>
      <c r="J4" s="23">
        <f t="shared" si="2"/>
        <v>0.008656379941</v>
      </c>
      <c r="K4" s="21">
        <v>2.321922E11</v>
      </c>
      <c r="L4" s="21">
        <v>2.108448E11</v>
      </c>
      <c r="M4" s="21">
        <f t="shared" si="3"/>
        <v>-21347400000</v>
      </c>
      <c r="N4" s="24">
        <f t="shared" ref="N4:N14" si="21">(M4-M3)/M3</f>
        <v>-1.790357574</v>
      </c>
      <c r="O4" s="23">
        <f t="shared" si="4"/>
        <v>-0.02909839071</v>
      </c>
      <c r="P4" s="31">
        <v>0.41039652</v>
      </c>
      <c r="Q4" s="24">
        <f t="shared" ref="Q4:Q13" si="22">(P4-P3)/P3</f>
        <v>0.2265260382</v>
      </c>
      <c r="R4" s="21">
        <f t="shared" si="5"/>
        <v>301078460254</v>
      </c>
      <c r="S4" s="31">
        <v>0.0875</v>
      </c>
      <c r="T4" s="21">
        <f t="shared" si="6"/>
        <v>26344365272</v>
      </c>
      <c r="U4" s="23">
        <f t="shared" si="7"/>
        <v>0.0359096955</v>
      </c>
      <c r="V4" s="31">
        <v>0.12278957</v>
      </c>
      <c r="W4" s="21">
        <f t="shared" si="8"/>
        <v>8798.117352</v>
      </c>
      <c r="X4" s="25">
        <f t="shared" si="9"/>
        <v>7717.800306</v>
      </c>
      <c r="Y4" s="3">
        <v>0.835</v>
      </c>
      <c r="Z4" s="31">
        <f t="shared" ref="Z4:Z13" si="23">(Y4-Y3)/Y3</f>
        <v>-0.008313539192</v>
      </c>
      <c r="AA4" s="41">
        <v>0.43</v>
      </c>
      <c r="AB4" s="31">
        <f t="shared" ref="AB4:AB13" si="24">(AA4-AA3)/AA4</f>
        <v>-0.01860465116</v>
      </c>
      <c r="AC4" s="26">
        <f t="shared" si="10"/>
        <v>0.405</v>
      </c>
      <c r="AD4" s="27">
        <f t="shared" ref="AD4:AG4" si="11">AD5+($AH4-$AH5)/4</f>
        <v>0.1732264152</v>
      </c>
      <c r="AE4" s="27">
        <f t="shared" si="11"/>
        <v>0.02522641523</v>
      </c>
      <c r="AF4" s="27">
        <f t="shared" si="11"/>
        <v>0.07822641523</v>
      </c>
      <c r="AG4" s="27">
        <f t="shared" si="11"/>
        <v>0.02122641523</v>
      </c>
      <c r="AH4" s="23">
        <f t="shared" si="12"/>
        <v>0.2979056609</v>
      </c>
      <c r="AI4" s="39">
        <f t="shared" si="13"/>
        <v>0.2415539547</v>
      </c>
      <c r="AJ4" s="29">
        <f t="shared" si="14"/>
        <v>3125.709124</v>
      </c>
      <c r="AK4" s="30" t="str">
        <f t="shared" si="15"/>
        <v>D</v>
      </c>
      <c r="AL4" s="30" t="str">
        <f t="shared" si="16"/>
        <v>0.24D</v>
      </c>
    </row>
    <row r="5">
      <c r="A5" s="1">
        <v>2021.0</v>
      </c>
      <c r="B5" s="21">
        <f>96.14*1000000000000</f>
        <v>96140000000000</v>
      </c>
      <c r="C5" s="24">
        <f t="shared" si="17"/>
        <v>0.1343952802</v>
      </c>
      <c r="D5" s="22">
        <f>7.95*10^9</f>
        <v>7950000000</v>
      </c>
      <c r="E5" s="24">
        <f t="shared" si="18"/>
        <v>0.007604562738</v>
      </c>
      <c r="F5" s="21">
        <v>8.399387E11</v>
      </c>
      <c r="G5" s="24">
        <f t="shared" si="19"/>
        <v>0.1449105964</v>
      </c>
      <c r="H5" s="32">
        <v>8.4147318E7</v>
      </c>
      <c r="I5" s="24">
        <f t="shared" si="20"/>
        <v>0.009146020588</v>
      </c>
      <c r="J5" s="23">
        <f t="shared" si="2"/>
        <v>0.008736620553</v>
      </c>
      <c r="K5" s="21">
        <v>2.90243E11</v>
      </c>
      <c r="L5" s="21">
        <v>2.94429E11</v>
      </c>
      <c r="M5" s="21">
        <f t="shared" si="3"/>
        <v>4186000000</v>
      </c>
      <c r="N5" s="24">
        <f t="shared" si="21"/>
        <v>-1.196089454</v>
      </c>
      <c r="O5" s="23">
        <f t="shared" si="4"/>
        <v>0.004983697025</v>
      </c>
      <c r="P5" s="31">
        <v>0.41637512</v>
      </c>
      <c r="Q5" s="24">
        <f t="shared" si="22"/>
        <v>0.01456786232</v>
      </c>
      <c r="R5" s="21">
        <f t="shared" si="5"/>
        <v>349729577005</v>
      </c>
      <c r="S5" s="31">
        <v>0.19</v>
      </c>
      <c r="T5" s="21">
        <f t="shared" si="6"/>
        <v>66448619631</v>
      </c>
      <c r="U5" s="23">
        <f t="shared" si="7"/>
        <v>0.0791112728</v>
      </c>
      <c r="V5" s="31">
        <v>0.19596492999999998</v>
      </c>
      <c r="W5" s="21">
        <f t="shared" si="8"/>
        <v>9981.764362</v>
      </c>
      <c r="X5" s="25">
        <f t="shared" si="9"/>
        <v>8025.688608</v>
      </c>
      <c r="Y5" s="3">
        <v>0.841</v>
      </c>
      <c r="Z5" s="31">
        <f t="shared" si="23"/>
        <v>0.007185628743</v>
      </c>
      <c r="AA5" s="41">
        <v>0.444</v>
      </c>
      <c r="AB5" s="31">
        <f t="shared" si="24"/>
        <v>0.03153153153</v>
      </c>
      <c r="AC5" s="26">
        <f t="shared" si="10"/>
        <v>0.397</v>
      </c>
      <c r="AD5" s="27">
        <f t="shared" ref="AD5:AG5" si="25">AD6+($AH5-$AH6)/4</f>
        <v>0.1771462266</v>
      </c>
      <c r="AE5" s="27">
        <f t="shared" si="25"/>
        <v>0.02914622656</v>
      </c>
      <c r="AF5" s="27">
        <f t="shared" si="25"/>
        <v>0.08214622656</v>
      </c>
      <c r="AG5" s="27">
        <f t="shared" si="25"/>
        <v>0.02514622656</v>
      </c>
      <c r="AH5" s="23">
        <f t="shared" si="12"/>
        <v>0.3135849063</v>
      </c>
      <c r="AI5" s="39">
        <f t="shared" si="13"/>
        <v>0.248193951</v>
      </c>
      <c r="AJ5" s="29">
        <f t="shared" si="14"/>
        <v>3186.198377</v>
      </c>
      <c r="AK5" s="30" t="str">
        <f t="shared" si="15"/>
        <v>D</v>
      </c>
      <c r="AL5" s="30" t="str">
        <f t="shared" si="16"/>
        <v>0.25D</v>
      </c>
    </row>
    <row r="6">
      <c r="A6" s="1">
        <v>2022.0</v>
      </c>
      <c r="B6" s="21">
        <f>101.56*1000000000000</f>
        <v>101560000000000</v>
      </c>
      <c r="C6" s="24">
        <f t="shared" si="17"/>
        <v>0.05637611816</v>
      </c>
      <c r="D6" s="22">
        <f>8.02*10^9</f>
        <v>8020000000</v>
      </c>
      <c r="E6" s="24">
        <f t="shared" si="18"/>
        <v>0.008805031447</v>
      </c>
      <c r="F6" s="21">
        <v>9.260975E11</v>
      </c>
      <c r="G6" s="24">
        <f t="shared" si="19"/>
        <v>0.1025774857</v>
      </c>
      <c r="H6" s="32">
        <v>8.4979913E7</v>
      </c>
      <c r="I6" s="24">
        <f t="shared" si="20"/>
        <v>0.009894492419</v>
      </c>
      <c r="J6" s="23">
        <f t="shared" si="2"/>
        <v>0.009118722922</v>
      </c>
      <c r="K6" s="21">
        <v>3.867111E11</v>
      </c>
      <c r="L6" s="21">
        <v>3.532248E11</v>
      </c>
      <c r="M6" s="21">
        <f t="shared" si="3"/>
        <v>-33486300000</v>
      </c>
      <c r="N6" s="24">
        <f t="shared" si="21"/>
        <v>-8.999593884</v>
      </c>
      <c r="O6" s="23">
        <f t="shared" si="4"/>
        <v>-0.03615850383</v>
      </c>
      <c r="P6" s="31">
        <v>0.35330084</v>
      </c>
      <c r="Q6" s="24">
        <f t="shared" si="22"/>
        <v>-0.1514842674</v>
      </c>
      <c r="R6" s="21">
        <f t="shared" si="5"/>
        <v>327191024672</v>
      </c>
      <c r="S6" s="31">
        <v>0.14</v>
      </c>
      <c r="T6" s="21">
        <f t="shared" si="6"/>
        <v>45806743454</v>
      </c>
      <c r="U6" s="23">
        <f t="shared" si="7"/>
        <v>0.0494621176</v>
      </c>
      <c r="V6" s="31">
        <v>0.72308836</v>
      </c>
      <c r="W6" s="21">
        <f t="shared" si="8"/>
        <v>10897.84006</v>
      </c>
      <c r="X6" s="25">
        <f t="shared" si="9"/>
        <v>3017.738763</v>
      </c>
      <c r="Y6" s="3">
        <v>0.855</v>
      </c>
      <c r="Z6" s="31">
        <f t="shared" si="23"/>
        <v>0.01664684899</v>
      </c>
      <c r="AA6" s="41">
        <v>0.445</v>
      </c>
      <c r="AB6" s="31">
        <f t="shared" si="24"/>
        <v>0.002247191011</v>
      </c>
      <c r="AC6" s="26">
        <f t="shared" si="10"/>
        <v>0.41</v>
      </c>
      <c r="AD6" s="27">
        <f t="shared" ref="AD6:AG6" si="26">AD7+($AH6-$AH7)/4</f>
        <v>0.1812723438</v>
      </c>
      <c r="AE6" s="27">
        <f t="shared" si="26"/>
        <v>0.03327234375</v>
      </c>
      <c r="AF6" s="27">
        <f t="shared" si="26"/>
        <v>0.08627234375</v>
      </c>
      <c r="AG6" s="27">
        <f t="shared" si="26"/>
        <v>0.02927234375</v>
      </c>
      <c r="AH6" s="23">
        <f t="shared" si="12"/>
        <v>0.330089375</v>
      </c>
      <c r="AI6" s="39">
        <f t="shared" si="13"/>
        <v>0.2535874765</v>
      </c>
      <c r="AJ6" s="29">
        <f t="shared" si="14"/>
        <v>1237.272893</v>
      </c>
      <c r="AK6" s="30" t="str">
        <f t="shared" si="15"/>
        <v>D-</v>
      </c>
      <c r="AL6" s="30" t="str">
        <f t="shared" si="16"/>
        <v>0.25D-</v>
      </c>
    </row>
    <row r="7">
      <c r="A7" s="1">
        <v>2023.0</v>
      </c>
      <c r="B7" s="21">
        <f>106.8*1000000000000</f>
        <v>106800000000000</v>
      </c>
      <c r="C7" s="24">
        <f t="shared" si="17"/>
        <v>0.05159511619</v>
      </c>
      <c r="D7" s="32">
        <f>8.09*10^9</f>
        <v>8090000000</v>
      </c>
      <c r="E7" s="24">
        <f t="shared" si="18"/>
        <v>0.008728179551</v>
      </c>
      <c r="F7" s="21">
        <v>1.141243E12</v>
      </c>
      <c r="G7" s="24">
        <f t="shared" si="19"/>
        <v>0.2323140922</v>
      </c>
      <c r="H7" s="32">
        <v>8.5325965E7</v>
      </c>
      <c r="I7" s="24">
        <f t="shared" si="20"/>
        <v>0.004072162324</v>
      </c>
      <c r="J7" s="23">
        <f t="shared" si="2"/>
        <v>0.01068579588</v>
      </c>
      <c r="K7" s="21">
        <v>3.853933E11</v>
      </c>
      <c r="L7" s="21">
        <v>3.642116E11</v>
      </c>
      <c r="M7" s="21">
        <f t="shared" si="3"/>
        <v>-21181700000</v>
      </c>
      <c r="N7" s="24">
        <f t="shared" si="21"/>
        <v>-0.3674517639</v>
      </c>
      <c r="O7" s="23">
        <f t="shared" si="4"/>
        <v>-0.01856020146</v>
      </c>
      <c r="P7" s="31">
        <v>0.33254836</v>
      </c>
      <c r="Q7" s="24">
        <f t="shared" si="22"/>
        <v>-0.05873883572</v>
      </c>
      <c r="R7" s="21">
        <f t="shared" si="5"/>
        <v>379518488011</v>
      </c>
      <c r="S7" s="31">
        <v>0.085</v>
      </c>
      <c r="T7" s="21">
        <f t="shared" si="6"/>
        <v>32259071481</v>
      </c>
      <c r="U7" s="23">
        <f t="shared" si="7"/>
        <v>0.0282666106</v>
      </c>
      <c r="V7" s="31">
        <v>0.53859409</v>
      </c>
      <c r="W7" s="21">
        <f t="shared" si="8"/>
        <v>13375.09631</v>
      </c>
      <c r="X7" s="25">
        <f t="shared" si="9"/>
        <v>6171.348486</v>
      </c>
      <c r="Y7" s="3">
        <v>0.854</v>
      </c>
      <c r="Z7" s="31">
        <f t="shared" si="23"/>
        <v>-0.001169590643</v>
      </c>
      <c r="AA7" s="41">
        <v>0.4445</v>
      </c>
      <c r="AB7" s="31">
        <f t="shared" si="24"/>
        <v>-0.001124859393</v>
      </c>
      <c r="AC7" s="26">
        <f t="shared" si="10"/>
        <v>0.4095</v>
      </c>
      <c r="AD7" s="27">
        <f t="shared" ref="AD7:AG7" si="27">AD8+($AH7-$AH8)/4</f>
        <v>0.185615625</v>
      </c>
      <c r="AE7" s="27">
        <f t="shared" si="27"/>
        <v>0.037615625</v>
      </c>
      <c r="AF7" s="27">
        <f t="shared" si="27"/>
        <v>0.090615625</v>
      </c>
      <c r="AG7" s="27">
        <f t="shared" si="27"/>
        <v>0.033615625</v>
      </c>
      <c r="AH7" s="23">
        <f t="shared" si="12"/>
        <v>0.3474625</v>
      </c>
      <c r="AI7" s="39">
        <f t="shared" si="13"/>
        <v>0.3113214838</v>
      </c>
      <c r="AJ7" s="29">
        <f t="shared" si="14"/>
        <v>2527.167205</v>
      </c>
      <c r="AK7" s="30" t="str">
        <f t="shared" si="15"/>
        <v>D</v>
      </c>
      <c r="AL7" s="30" t="str">
        <f t="shared" si="16"/>
        <v>0.31D</v>
      </c>
    </row>
    <row r="8">
      <c r="A8" s="1">
        <v>2024.0</v>
      </c>
      <c r="B8" s="21">
        <f>112.6*1000000000000</f>
        <v>112600000000000</v>
      </c>
      <c r="C8" s="24">
        <f t="shared" si="17"/>
        <v>0.0543071161</v>
      </c>
      <c r="D8" s="32">
        <v>8.161972572E9</v>
      </c>
      <c r="E8" s="24">
        <f t="shared" si="18"/>
        <v>0.008896486032</v>
      </c>
      <c r="F8" s="21">
        <v>1.359124E12</v>
      </c>
      <c r="G8" s="24">
        <f t="shared" si="19"/>
        <v>0.1909155193</v>
      </c>
      <c r="H8" s="32">
        <v>8.5518661E7</v>
      </c>
      <c r="I8" s="24">
        <f t="shared" si="20"/>
        <v>0.002258351253</v>
      </c>
      <c r="J8" s="23">
        <f t="shared" si="2"/>
        <v>0.012070373</v>
      </c>
      <c r="K8" s="21">
        <v>3.673791E11</v>
      </c>
      <c r="L8" s="21">
        <v>3.746863E11</v>
      </c>
      <c r="M8" s="21">
        <f t="shared" si="3"/>
        <v>7307200000</v>
      </c>
      <c r="N8" s="24">
        <f t="shared" si="21"/>
        <v>-1.344977032</v>
      </c>
      <c r="O8" s="23">
        <f t="shared" si="4"/>
        <v>0.005376404213</v>
      </c>
      <c r="P8" s="31">
        <v>0.26619233999999997</v>
      </c>
      <c r="Q8" s="24">
        <f t="shared" si="22"/>
        <v>-0.1995379559</v>
      </c>
      <c r="R8" s="21">
        <f t="shared" si="5"/>
        <v>361788397910</v>
      </c>
      <c r="S8" s="31">
        <v>0.5</v>
      </c>
      <c r="T8" s="21">
        <f t="shared" si="6"/>
        <v>180894198955</v>
      </c>
      <c r="U8" s="23">
        <f t="shared" si="7"/>
        <v>0.13309617</v>
      </c>
      <c r="V8" s="31">
        <v>0.58506451</v>
      </c>
      <c r="W8" s="21">
        <f t="shared" si="8"/>
        <v>15892.71843</v>
      </c>
      <c r="X8" s="25">
        <f t="shared" si="9"/>
        <v>6594.45291</v>
      </c>
      <c r="Y8" s="3">
        <v>0.85</v>
      </c>
      <c r="Z8" s="31">
        <f t="shared" si="23"/>
        <v>-0.004683840749</v>
      </c>
      <c r="AA8" s="41">
        <v>0.44425000000000003</v>
      </c>
      <c r="AB8" s="31">
        <f t="shared" si="24"/>
        <v>-0.0005627462015</v>
      </c>
      <c r="AC8" s="26">
        <f t="shared" si="10"/>
        <v>0.40575</v>
      </c>
      <c r="AD8" s="27">
        <f t="shared" ref="AD8:AG8" si="28">AD9+($AH8-$AH9)/4</f>
        <v>0.1901875</v>
      </c>
      <c r="AE8" s="27">
        <f t="shared" si="28"/>
        <v>0.0421875</v>
      </c>
      <c r="AF8" s="27">
        <f t="shared" si="28"/>
        <v>0.0951875</v>
      </c>
      <c r="AG8" s="27">
        <f t="shared" si="28"/>
        <v>0.0381875</v>
      </c>
      <c r="AH8" s="23">
        <f t="shared" si="12"/>
        <v>0.36575</v>
      </c>
      <c r="AI8" s="39">
        <f t="shared" si="13"/>
        <v>0.2501006072</v>
      </c>
      <c r="AJ8" s="29">
        <f t="shared" si="14"/>
        <v>2675.699268</v>
      </c>
      <c r="AK8" s="30" t="str">
        <f t="shared" si="15"/>
        <v>D</v>
      </c>
      <c r="AL8" s="30" t="str">
        <f t="shared" si="16"/>
        <v>0.25D</v>
      </c>
    </row>
    <row r="9">
      <c r="A9" s="1">
        <v>2025.0</v>
      </c>
      <c r="B9" s="33">
        <v>1.13795678E14</v>
      </c>
      <c r="C9" s="24">
        <f t="shared" si="17"/>
        <v>0.01061880995</v>
      </c>
      <c r="D9" s="32">
        <v>8.23161307E9</v>
      </c>
      <c r="E9" s="24">
        <f t="shared" si="18"/>
        <v>0.008532312181</v>
      </c>
      <c r="F9" s="33">
        <v>1.437E12</v>
      </c>
      <c r="G9" s="24">
        <f t="shared" si="19"/>
        <v>0.05729867179</v>
      </c>
      <c r="H9" s="32">
        <v>8.57E7</v>
      </c>
      <c r="I9" s="24">
        <f t="shared" si="20"/>
        <v>0.00212046117</v>
      </c>
      <c r="J9" s="23">
        <f t="shared" si="2"/>
        <v>0.01262789611</v>
      </c>
      <c r="K9" s="33">
        <f>606000000000/2</f>
        <v>303000000000</v>
      </c>
      <c r="L9" s="21">
        <f t="shared" ref="L9:L14" si="29">K9+M9</f>
        <v>221000000000</v>
      </c>
      <c r="M9" s="33">
        <v>-8.2E10</v>
      </c>
      <c r="N9" s="24">
        <f t="shared" si="21"/>
        <v>-12.22180863</v>
      </c>
      <c r="O9" s="23">
        <f t="shared" si="4"/>
        <v>-0.05706332637</v>
      </c>
      <c r="P9" s="24">
        <f>R9/F9</f>
        <v>0.295</v>
      </c>
      <c r="Q9" s="24">
        <f t="shared" si="22"/>
        <v>0.1082212208</v>
      </c>
      <c r="R9" s="33">
        <v>4.23915E11</v>
      </c>
      <c r="S9" s="31">
        <v>0.46</v>
      </c>
      <c r="T9" s="21">
        <f t="shared" si="6"/>
        <v>195000900000</v>
      </c>
      <c r="U9" s="23">
        <f t="shared" si="7"/>
        <v>0.1357</v>
      </c>
      <c r="V9" s="31">
        <v>0.3786</v>
      </c>
      <c r="W9" s="21">
        <f t="shared" si="8"/>
        <v>16767.79463</v>
      </c>
      <c r="X9" s="25">
        <f t="shared" si="9"/>
        <v>10419.50758</v>
      </c>
      <c r="Y9" s="43">
        <v>0.853</v>
      </c>
      <c r="Z9" s="31">
        <f t="shared" si="23"/>
        <v>0.003529411765</v>
      </c>
      <c r="AA9" s="41">
        <v>0.444</v>
      </c>
      <c r="AB9" s="31">
        <f t="shared" si="24"/>
        <v>-0.0005630630631</v>
      </c>
      <c r="AC9" s="26">
        <f t="shared" si="10"/>
        <v>0.409</v>
      </c>
      <c r="AD9" s="31">
        <v>0.195</v>
      </c>
      <c r="AE9" s="31">
        <v>0.047</v>
      </c>
      <c r="AF9" s="31">
        <v>0.1</v>
      </c>
      <c r="AG9" s="31">
        <v>0.043</v>
      </c>
      <c r="AH9" s="23">
        <f>SUM(AD9:AG9)</f>
        <v>0.385</v>
      </c>
      <c r="AI9" s="39">
        <f t="shared" si="13"/>
        <v>0.2048645697</v>
      </c>
      <c r="AJ9" s="29">
        <f t="shared" si="14"/>
        <v>4261.578602</v>
      </c>
      <c r="AK9" s="30" t="str">
        <f t="shared" si="15"/>
        <v>D</v>
      </c>
      <c r="AL9" s="30" t="str">
        <f t="shared" si="16"/>
        <v>0.2D</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1566921355687</v>
      </c>
      <c r="G10" s="24">
        <f t="shared" si="19"/>
        <v>0.09041152101</v>
      </c>
      <c r="H10" s="22">
        <f>AVERAGE(FORECAST(A10,H3:H9,$A$3:$A$9),H9*(AVERAGE(I4:I9)+1))</f>
        <v>86433421.69</v>
      </c>
      <c r="I10" s="24">
        <f t="shared" si="20"/>
        <v>0.008558012676</v>
      </c>
      <c r="J10" s="35">
        <f t="shared" si="2"/>
        <v>0.01305073819</v>
      </c>
      <c r="K10" s="36">
        <f>FORECAST(A10,K3:K9,A3:A9)</f>
        <v>397276514286</v>
      </c>
      <c r="L10" s="36">
        <f t="shared" si="29"/>
        <v>338047900000</v>
      </c>
      <c r="M10" s="21">
        <f>FORECAST(A10,M3:M9,$A$3:$A$9)</f>
        <v>-59228614286</v>
      </c>
      <c r="N10" s="24">
        <f t="shared" si="21"/>
        <v>-0.2776998258</v>
      </c>
      <c r="O10" s="24">
        <f t="shared" si="4"/>
        <v>-0.03779935354</v>
      </c>
      <c r="P10" s="24">
        <f>AVERAGE(FORECAST(A10,P3:P9,$A$3:$A$9),P9*(AVERAGE(Q4:Q9)+1))</f>
        <v>0.2829695074</v>
      </c>
      <c r="Q10" s="24">
        <f t="shared" si="22"/>
        <v>-0.04078133097</v>
      </c>
      <c r="R10" s="21">
        <f t="shared" ref="R10:R14" si="31">P10*F10</f>
        <v>443390964097</v>
      </c>
      <c r="S10" s="24">
        <f t="shared" ref="S10:S14" si="32">S9*1.05</f>
        <v>0.483</v>
      </c>
      <c r="T10" s="21">
        <f t="shared" si="6"/>
        <v>214157835659</v>
      </c>
      <c r="U10" s="24">
        <f t="shared" si="7"/>
        <v>0.1366742721</v>
      </c>
      <c r="V10" s="24">
        <f t="shared" ref="V10:V14" si="33">V9*1.05</f>
        <v>0.39753</v>
      </c>
      <c r="W10" s="21">
        <f t="shared" si="8"/>
        <v>18128.65122</v>
      </c>
      <c r="X10" s="21">
        <f t="shared" si="9"/>
        <v>10921.9685</v>
      </c>
      <c r="Y10" s="37">
        <f>AVERAGE(FORECAST(A10,Y3:Y9,$A$3:$A$9),Y9*(AVERAGE(Z4:Z9)+1))</f>
        <v>0.8564379388</v>
      </c>
      <c r="Z10" s="31">
        <f t="shared" si="23"/>
        <v>0.004030408932</v>
      </c>
      <c r="AA10" s="38">
        <f>AVERAGE(FORECAST(A10,AA3:AA9,$A$3:$A$9),AA9*(AVERAGE(AB4:AB9)+1))</f>
        <v>0.4465317373</v>
      </c>
      <c r="AB10" s="31">
        <f t="shared" si="24"/>
        <v>0.005669781379</v>
      </c>
      <c r="AC10" s="37">
        <f t="shared" si="10"/>
        <v>0.4099062015</v>
      </c>
      <c r="AD10" s="27">
        <f t="shared" ref="AD10:AG10" si="30">AD9+($AH10-$AH9)/4</f>
        <v>0.1998125</v>
      </c>
      <c r="AE10" s="27">
        <f t="shared" si="30"/>
        <v>0.0518125</v>
      </c>
      <c r="AF10" s="27">
        <f t="shared" si="30"/>
        <v>0.1048125</v>
      </c>
      <c r="AG10" s="27">
        <f t="shared" si="30"/>
        <v>0.0478125</v>
      </c>
      <c r="AH10" s="24">
        <f t="shared" ref="AH10:AH14" si="35">AH9*1.05</f>
        <v>0.40425</v>
      </c>
      <c r="AI10" s="38">
        <f t="shared" si="13"/>
        <v>0.2428271126</v>
      </c>
      <c r="AJ10" s="21">
        <f t="shared" si="14"/>
        <v>4476.982621</v>
      </c>
      <c r="AK10" s="30" t="str">
        <f t="shared" si="15"/>
        <v>D</v>
      </c>
      <c r="AL10" s="30" t="str">
        <f t="shared" si="16"/>
        <v>0.24D</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1707718085781</v>
      </c>
      <c r="G11" s="24">
        <f t="shared" si="19"/>
        <v>0.08985564565</v>
      </c>
      <c r="H11" s="22">
        <f>AVERAGE(FORECAST($A11,H3:H10,$A3:$A10),H10*(AVERAGE(I4:I10)+1))</f>
        <v>87030988.23</v>
      </c>
      <c r="I11" s="24">
        <f t="shared" si="20"/>
        <v>0.006913605045</v>
      </c>
      <c r="J11" s="35">
        <f t="shared" si="2"/>
        <v>0.01358182468</v>
      </c>
      <c r="K11" s="36">
        <f>FORECAST(A11,K3:K10,A3:A10)</f>
        <v>418232346429</v>
      </c>
      <c r="L11" s="21">
        <f t="shared" si="29"/>
        <v>348464878571</v>
      </c>
      <c r="M11" s="21">
        <f>FORECAST(A11,M3:M10,$A3:$A10)</f>
        <v>-69767467857</v>
      </c>
      <c r="N11" s="24">
        <f t="shared" si="21"/>
        <v>0.1779351703</v>
      </c>
      <c r="O11" s="24">
        <f t="shared" si="4"/>
        <v>-0.04085420681</v>
      </c>
      <c r="P11" s="24">
        <f>AVERAGE(FORECAST($A11,P3:P10,$A3:$A10),P10*(AVERAGE(Q4:Q10)+1))</f>
        <v>0.2698903251</v>
      </c>
      <c r="Q11" s="24">
        <f t="shared" si="22"/>
        <v>-0.04622117183</v>
      </c>
      <c r="R11" s="21">
        <f t="shared" si="31"/>
        <v>460896589420</v>
      </c>
      <c r="S11" s="24">
        <f t="shared" si="32"/>
        <v>0.50715</v>
      </c>
      <c r="T11" s="21">
        <f t="shared" si="6"/>
        <v>233743705324</v>
      </c>
      <c r="U11" s="24">
        <f t="shared" si="7"/>
        <v>0.1368748784</v>
      </c>
      <c r="V11" s="24">
        <f t="shared" si="33"/>
        <v>0.4174065</v>
      </c>
      <c r="W11" s="21">
        <f t="shared" si="8"/>
        <v>19621.95444</v>
      </c>
      <c r="X11" s="21">
        <f t="shared" si="9"/>
        <v>11431.62311</v>
      </c>
      <c r="Y11" s="37">
        <f>AVERAGE(FORECAST($A11,Y3:Y10,$A3:$A10),Y10*(AVERAGE(Z4:Z10)+1))</f>
        <v>0.8592393416</v>
      </c>
      <c r="Z11" s="31">
        <f t="shared" si="23"/>
        <v>0.003270993281</v>
      </c>
      <c r="AA11" s="38">
        <f>AVERAGE(FORECAST($A11,AA3:AA10,$A3:$A10),AA10*(AVERAGE(AB4:AB10)+1))</f>
        <v>0.4483579063</v>
      </c>
      <c r="AB11" s="31">
        <f t="shared" si="24"/>
        <v>0.004073016188</v>
      </c>
      <c r="AC11" s="37">
        <f t="shared" si="10"/>
        <v>0.4108814352</v>
      </c>
      <c r="AD11" s="27">
        <f t="shared" ref="AD11:AG11" si="34">AD10+($AH11-$AH10)/4</f>
        <v>0.204865625</v>
      </c>
      <c r="AE11" s="27">
        <f t="shared" si="34"/>
        <v>0.056865625</v>
      </c>
      <c r="AF11" s="27">
        <f t="shared" si="34"/>
        <v>0.109865625</v>
      </c>
      <c r="AG11" s="27">
        <f t="shared" si="34"/>
        <v>0.052865625</v>
      </c>
      <c r="AH11" s="24">
        <f t="shared" si="35"/>
        <v>0.4244625</v>
      </c>
      <c r="AI11" s="38">
        <f t="shared" si="13"/>
        <v>0.2603152395</v>
      </c>
      <c r="AJ11" s="21">
        <f t="shared" si="14"/>
        <v>4697.041712</v>
      </c>
      <c r="AK11" s="30" t="str">
        <f t="shared" si="15"/>
        <v>D</v>
      </c>
      <c r="AL11" s="30" t="str">
        <f t="shared" si="16"/>
        <v>0.26D</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1854904094566</v>
      </c>
      <c r="G12" s="24">
        <f t="shared" si="19"/>
        <v>0.0861887041</v>
      </c>
      <c r="H12" s="22">
        <f>AVERAGE(FORECAST($A12,H3:H11,$A3:$A11),H11*(AVERAGE(I4:I11)+1))</f>
        <v>87582662.14</v>
      </c>
      <c r="I12" s="24">
        <f t="shared" si="20"/>
        <v>0.006338821681</v>
      </c>
      <c r="J12" s="35">
        <f t="shared" si="2"/>
        <v>0.01413395493</v>
      </c>
      <c r="K12" s="36">
        <f>FORECAST(A12,K3:K11,A3:A11)</f>
        <v>439188178571</v>
      </c>
      <c r="L12" s="21">
        <f t="shared" si="29"/>
        <v>358881857143</v>
      </c>
      <c r="M12" s="21">
        <f>FORECAST(A12,M3:M11,$A3:$A11)</f>
        <v>-80306321429</v>
      </c>
      <c r="N12" s="24">
        <f t="shared" si="21"/>
        <v>0.1510568449</v>
      </c>
      <c r="O12" s="24">
        <f t="shared" si="4"/>
        <v>-0.04329405583</v>
      </c>
      <c r="P12" s="24">
        <f>AVERAGE(FORECAST($A12,P3:P11,$A3:$A11),P11*(AVERAGE(Q4:Q11)+1))</f>
        <v>0.2565156294</v>
      </c>
      <c r="Q12" s="24">
        <f t="shared" si="22"/>
        <v>-0.04955603986</v>
      </c>
      <c r="R12" s="21">
        <f t="shared" si="31"/>
        <v>475811891352</v>
      </c>
      <c r="S12" s="24">
        <f t="shared" si="32"/>
        <v>0.5325075</v>
      </c>
      <c r="T12" s="21">
        <f t="shared" si="6"/>
        <v>253373400734</v>
      </c>
      <c r="U12" s="24">
        <f t="shared" si="7"/>
        <v>0.1365964965</v>
      </c>
      <c r="V12" s="24">
        <f t="shared" si="33"/>
        <v>0.438276825</v>
      </c>
      <c r="W12" s="21">
        <f t="shared" si="8"/>
        <v>21178.89602</v>
      </c>
      <c r="X12" s="21">
        <f t="shared" si="9"/>
        <v>11896.67671</v>
      </c>
      <c r="Y12" s="37">
        <f>AVERAGE(FORECAST($A12,Y3:Y11,$A3:$A11),Y11*(AVERAGE(Z4:Z11)+1))</f>
        <v>0.8618248551</v>
      </c>
      <c r="Z12" s="31">
        <f t="shared" si="23"/>
        <v>0.003009072628</v>
      </c>
      <c r="AA12" s="37">
        <f>AVERAGE(FORECAST($A12,AA3:AA11,$A3:$A11),AA11*(AVERAGE(AB4:AB11)+1))</f>
        <v>0.4499445178</v>
      </c>
      <c r="AB12" s="31">
        <f t="shared" si="24"/>
        <v>0.003526237972</v>
      </c>
      <c r="AC12" s="37">
        <f t="shared" si="10"/>
        <v>0.4118803374</v>
      </c>
      <c r="AD12" s="27">
        <f t="shared" ref="AD12:AG12" si="36">AD11+($AH12-$AH11)/4</f>
        <v>0.2101714063</v>
      </c>
      <c r="AE12" s="27">
        <f t="shared" si="36"/>
        <v>0.06217140625</v>
      </c>
      <c r="AF12" s="27">
        <f t="shared" si="36"/>
        <v>0.1151714063</v>
      </c>
      <c r="AG12" s="27">
        <f t="shared" si="36"/>
        <v>0.05817140625</v>
      </c>
      <c r="AH12" s="24">
        <f t="shared" si="35"/>
        <v>0.445685625</v>
      </c>
      <c r="AI12" s="38">
        <f t="shared" si="13"/>
        <v>0.2799290276</v>
      </c>
      <c r="AJ12" s="21">
        <f t="shared" si="14"/>
        <v>4900.007219</v>
      </c>
      <c r="AK12" s="30" t="str">
        <f t="shared" si="15"/>
        <v>D</v>
      </c>
      <c r="AL12" s="30" t="str">
        <f t="shared" si="16"/>
        <v>0.28D</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2006705482976</v>
      </c>
      <c r="G13" s="24">
        <f t="shared" si="19"/>
        <v>0.08183786367</v>
      </c>
      <c r="H13" s="22">
        <f>AVERAGE(FORECAST($A13,H3:H12,$A3:$A12),H12*(AVERAGE(I4:I12)+1))</f>
        <v>88118428.56</v>
      </c>
      <c r="I13" s="24">
        <f t="shared" si="20"/>
        <v>0.006117265711</v>
      </c>
      <c r="J13" s="35">
        <f t="shared" si="2"/>
        <v>0.01467829044</v>
      </c>
      <c r="K13" s="36">
        <f>FORECAST(A13,K3:K12,A3:A12)</f>
        <v>460144010714</v>
      </c>
      <c r="L13" s="21">
        <f t="shared" si="29"/>
        <v>369298835714</v>
      </c>
      <c r="M13" s="21">
        <f>FORECAST(A13,M3:M12,$A3:$A12)</f>
        <v>-90845175000</v>
      </c>
      <c r="N13" s="24">
        <f t="shared" si="21"/>
        <v>0.1312331755</v>
      </c>
      <c r="O13" s="24">
        <f t="shared" si="4"/>
        <v>-0.04527080619</v>
      </c>
      <c r="P13" s="24">
        <f>AVERAGE(FORECAST($A13,P3:P12,$A3:$A12),P12*(AVERAGE(Q4:Q12)+1))</f>
        <v>0.2430965329</v>
      </c>
      <c r="Q13" s="24">
        <f t="shared" si="22"/>
        <v>-0.05231297832</v>
      </c>
      <c r="R13" s="21">
        <f t="shared" si="31"/>
        <v>487823145401</v>
      </c>
      <c r="S13" s="24">
        <f t="shared" si="32"/>
        <v>0.559132875</v>
      </c>
      <c r="T13" s="21">
        <f t="shared" si="6"/>
        <v>272757957780</v>
      </c>
      <c r="U13" s="24">
        <f t="shared" si="7"/>
        <v>0.1359232633</v>
      </c>
      <c r="V13" s="24">
        <f t="shared" si="33"/>
        <v>0.4601906663</v>
      </c>
      <c r="W13" s="21">
        <f t="shared" si="8"/>
        <v>22772.82421</v>
      </c>
      <c r="X13" s="21">
        <f t="shared" si="9"/>
        <v>12292.98306</v>
      </c>
      <c r="Y13" s="37">
        <f>AVERAGE(FORECAST($A13,Y3:Y12,$A3:$A12),Y12*(AVERAGE(Z4:Z12)+1))</f>
        <v>0.8643344325</v>
      </c>
      <c r="Z13" s="31">
        <f t="shared" si="23"/>
        <v>0.002911934314</v>
      </c>
      <c r="AA13" s="37">
        <f>AVERAGE(FORECAST($A13,AA3:AA12,$A3:$A12),AA12*(AVERAGE(AB4:AB12)+1))</f>
        <v>0.451446442</v>
      </c>
      <c r="AB13" s="31">
        <f t="shared" si="24"/>
        <v>0.003326915697</v>
      </c>
      <c r="AC13" s="37">
        <f t="shared" si="10"/>
        <v>0.4128879905</v>
      </c>
      <c r="AD13" s="27">
        <f t="shared" ref="AD13:AG13" si="37">AD12+($AH13-$AH12)/4</f>
        <v>0.2157424766</v>
      </c>
      <c r="AE13" s="27">
        <f t="shared" si="37"/>
        <v>0.06774247656</v>
      </c>
      <c r="AF13" s="27">
        <f t="shared" si="37"/>
        <v>0.1207424766</v>
      </c>
      <c r="AG13" s="27">
        <f t="shared" si="37"/>
        <v>0.06374247656</v>
      </c>
      <c r="AH13" s="24">
        <f t="shared" si="35"/>
        <v>0.4679699063</v>
      </c>
      <c r="AI13" s="38">
        <f t="shared" si="13"/>
        <v>0.3014541272</v>
      </c>
      <c r="AJ13" s="21">
        <f t="shared" si="14"/>
        <v>5075.625074</v>
      </c>
      <c r="AK13" s="30" t="str">
        <f t="shared" si="15"/>
        <v>D+</v>
      </c>
      <c r="AL13" s="30" t="str">
        <f t="shared" si="16"/>
        <v>0.3D+</v>
      </c>
    </row>
    <row r="14">
      <c r="A14" s="34">
        <v>2030.0</v>
      </c>
      <c r="B14" s="21">
        <f>AVERAGE(FORECAST($A14,B5:B13,$A5:$A13),B13*(AVERAGE(C6:C13)+1))</f>
        <v>141834754671550</v>
      </c>
      <c r="C14" s="24"/>
      <c r="D14" s="22">
        <f>AVERAGE(FORECAST($A14,D5:D13,$A5:$A13),D13*(AVERAGE(E6:E13)+1))</f>
        <v>8586617399</v>
      </c>
      <c r="E14" s="24"/>
      <c r="F14" s="21">
        <f>AVERAGE(FORECAST($A14,F5:F13,$A5:$A13),F13*(AVERAGE(G6:G13)+1))</f>
        <v>2199908469423</v>
      </c>
      <c r="H14" s="22">
        <f>AVERAGE(FORECAST($A14,H5:H13,$A5:$A13),H13*(AVERAGE(I6:I13)+1))</f>
        <v>88527974.8</v>
      </c>
      <c r="J14" s="35">
        <f t="shared" si="2"/>
        <v>0.01551036257</v>
      </c>
      <c r="K14" s="36">
        <f>FORECAST(A14,K3:K13,A3:A13)</f>
        <v>481099842857</v>
      </c>
      <c r="L14" s="21">
        <f t="shared" si="29"/>
        <v>379715814286</v>
      </c>
      <c r="M14" s="21">
        <f>FORECAST(A14,M3:M13,$A3:$A13)</f>
        <v>-101384028571</v>
      </c>
      <c r="N14" s="24">
        <f t="shared" si="21"/>
        <v>0.1160089523</v>
      </c>
      <c r="O14" s="24">
        <f t="shared" si="4"/>
        <v>-0.04608556673</v>
      </c>
      <c r="P14" s="24">
        <f>AVERAGE(FORECAST($A14,P3:P13,$A3:$A13),P13*(AVERAGE(Q4:Q13)+1))</f>
        <v>0.2297205791</v>
      </c>
      <c r="R14" s="21">
        <f t="shared" si="31"/>
        <v>505364247636</v>
      </c>
      <c r="S14" s="24">
        <f t="shared" si="32"/>
        <v>0.5870895188</v>
      </c>
      <c r="T14" s="21">
        <f t="shared" si="6"/>
        <v>296694052938</v>
      </c>
      <c r="U14" s="24">
        <f t="shared" si="7"/>
        <v>0.1348665443</v>
      </c>
      <c r="V14" s="24">
        <f t="shared" si="33"/>
        <v>0.4832001996</v>
      </c>
      <c r="W14" s="21">
        <f t="shared" si="8"/>
        <v>24849.86779</v>
      </c>
      <c r="X14" s="21">
        <f t="shared" si="9"/>
        <v>12842.40671</v>
      </c>
      <c r="Y14" s="37">
        <f>AVERAGE(FORECAST($A14,Y3:Y13,$A3:$A13),Y13*(AVERAGE(Z4:Z13)+1))</f>
        <v>0.8668168802</v>
      </c>
      <c r="AA14" s="37">
        <f>AVERAGE(FORECAST($A14,AA3:AA13,$A3:$A13),AA13*(AVERAGE(AB4:AB13)+1))</f>
        <v>0.4529176818</v>
      </c>
      <c r="AC14" s="37">
        <f t="shared" si="10"/>
        <v>0.4138991984</v>
      </c>
      <c r="AD14" s="27">
        <f t="shared" ref="AD14:AG14" si="38">AD13+($AH14-$AH13)/4</f>
        <v>0.2215921004</v>
      </c>
      <c r="AE14" s="27">
        <f t="shared" si="38"/>
        <v>0.07359210039</v>
      </c>
      <c r="AF14" s="27">
        <f t="shared" si="38"/>
        <v>0.1265921004</v>
      </c>
      <c r="AG14" s="27">
        <f t="shared" si="38"/>
        <v>0.06959210039</v>
      </c>
      <c r="AH14" s="24">
        <f t="shared" si="35"/>
        <v>0.4913684016</v>
      </c>
      <c r="AI14" s="38">
        <f t="shared" si="13"/>
        <v>0.3259266531</v>
      </c>
      <c r="AJ14" s="21">
        <f t="shared" si="14"/>
        <v>5315.461845</v>
      </c>
      <c r="AK14" s="30" t="str">
        <f t="shared" si="15"/>
        <v>D+</v>
      </c>
      <c r="AL14" s="30" t="str">
        <f t="shared" si="16"/>
        <v>0.33D+</v>
      </c>
    </row>
    <row r="18">
      <c r="D18" s="45"/>
      <c r="E18" s="45"/>
      <c r="F18" s="45"/>
      <c r="G18" s="45"/>
      <c r="H18" s="45"/>
      <c r="I18" s="45"/>
      <c r="J18" s="45"/>
      <c r="K18" s="45"/>
      <c r="L18" s="45"/>
      <c r="M18" s="45"/>
    </row>
    <row r="19">
      <c r="D19" s="45"/>
      <c r="I19" s="46"/>
      <c r="J19" s="46"/>
      <c r="K19" s="46"/>
    </row>
    <row r="20">
      <c r="D20" s="45"/>
      <c r="I20" s="46"/>
      <c r="J20" s="46"/>
      <c r="K20" s="46"/>
    </row>
    <row r="21">
      <c r="D21" s="45"/>
      <c r="I21" s="46"/>
      <c r="J21" s="46"/>
      <c r="K21" s="46"/>
    </row>
    <row r="22">
      <c r="D22" s="45"/>
      <c r="I22" s="46"/>
      <c r="J22" s="46"/>
      <c r="K22" s="46"/>
    </row>
    <row r="23">
      <c r="D23" s="45"/>
      <c r="I23" s="46"/>
      <c r="J23" s="46"/>
      <c r="K23" s="46"/>
    </row>
    <row r="24">
      <c r="D24" s="45"/>
      <c r="I24" s="46"/>
      <c r="J24" s="46"/>
      <c r="K24" s="46"/>
    </row>
  </sheetData>
  <mergeCells count="1">
    <mergeCell ref="B1:AL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23.63"/>
    <col customWidth="1" min="15" max="15" width="18.38"/>
    <col customWidth="1" min="17" max="17" width="18.5"/>
    <col customWidth="1" min="18" max="18" width="16.75"/>
    <col customWidth="1" min="20" max="20" width="14.38"/>
    <col customWidth="1" min="21" max="21" width="20.5"/>
    <col customWidth="1" min="36" max="36" width="19.88"/>
    <col customWidth="1" min="37" max="37" width="16.88"/>
  </cols>
  <sheetData>
    <row r="1">
      <c r="A1" s="1" t="s">
        <v>88</v>
      </c>
      <c r="B1" s="18" t="s">
        <v>120</v>
      </c>
      <c r="AM1" s="18"/>
      <c r="AN1" s="18"/>
      <c r="AO1" s="18"/>
      <c r="AP1" s="18"/>
      <c r="AQ1" s="18"/>
      <c r="AR1" s="18"/>
    </row>
    <row r="2">
      <c r="A2" s="1" t="s">
        <v>90</v>
      </c>
      <c r="B2" s="1" t="s">
        <v>20</v>
      </c>
      <c r="C2" s="1" t="s">
        <v>91</v>
      </c>
      <c r="D2" s="1" t="s">
        <v>92</v>
      </c>
      <c r="E2" s="1" t="s">
        <v>93</v>
      </c>
      <c r="F2" s="1" t="s">
        <v>19</v>
      </c>
      <c r="G2" s="1" t="s">
        <v>94</v>
      </c>
      <c r="H2" s="1" t="s">
        <v>95</v>
      </c>
      <c r="I2" s="1" t="s">
        <v>96</v>
      </c>
      <c r="J2" s="19" t="s">
        <v>97</v>
      </c>
      <c r="K2" s="1" t="s">
        <v>98</v>
      </c>
      <c r="L2" s="1" t="s">
        <v>99</v>
      </c>
      <c r="M2" s="1" t="s">
        <v>100</v>
      </c>
      <c r="N2" s="1" t="s">
        <v>101</v>
      </c>
      <c r="O2" s="19" t="s">
        <v>102</v>
      </c>
      <c r="P2" s="1" t="s">
        <v>103</v>
      </c>
      <c r="Q2" s="1" t="s">
        <v>104</v>
      </c>
      <c r="R2" s="1" t="s">
        <v>105</v>
      </c>
      <c r="S2" s="1" t="s">
        <v>106</v>
      </c>
      <c r="T2" s="1" t="s">
        <v>107</v>
      </c>
      <c r="U2" s="19" t="s">
        <v>108</v>
      </c>
      <c r="V2" s="1" t="s">
        <v>25</v>
      </c>
      <c r="W2" s="1" t="s">
        <v>109</v>
      </c>
      <c r="X2" s="19" t="s">
        <v>5</v>
      </c>
      <c r="Y2" s="1" t="s">
        <v>29</v>
      </c>
      <c r="Z2" s="1" t="s">
        <v>110</v>
      </c>
      <c r="AA2" s="1" t="s">
        <v>30</v>
      </c>
      <c r="AB2" s="1" t="s">
        <v>111</v>
      </c>
      <c r="AC2" s="19" t="s">
        <v>9</v>
      </c>
      <c r="AD2" s="1" t="s">
        <v>112</v>
      </c>
      <c r="AE2" s="1" t="s">
        <v>113</v>
      </c>
      <c r="AF2" s="1" t="s">
        <v>114</v>
      </c>
      <c r="AG2" s="1" t="s">
        <v>115</v>
      </c>
      <c r="AH2" s="19" t="s">
        <v>116</v>
      </c>
      <c r="AI2" s="20" t="s">
        <v>117</v>
      </c>
      <c r="AJ2" s="20" t="s">
        <v>2</v>
      </c>
      <c r="AK2" s="1" t="s">
        <v>118</v>
      </c>
      <c r="AL2" s="1" t="s">
        <v>119</v>
      </c>
      <c r="AM2" s="1"/>
      <c r="AN2" s="1"/>
      <c r="AO2" s="1"/>
      <c r="AP2" s="1"/>
      <c r="AQ2" s="1"/>
      <c r="AR2" s="1"/>
    </row>
    <row r="3">
      <c r="A3" s="1">
        <v>2019.0</v>
      </c>
      <c r="B3" s="21">
        <f>87.7*1000000000000</f>
        <v>87700000000000</v>
      </c>
      <c r="C3" s="21"/>
      <c r="D3" s="22">
        <f>7.81*10^9</f>
        <v>7810000000</v>
      </c>
      <c r="E3" s="22"/>
      <c r="F3" s="21">
        <v>1.304106E12</v>
      </c>
      <c r="G3" s="21"/>
      <c r="H3" s="32">
        <v>1.25762982E8</v>
      </c>
      <c r="I3" s="22"/>
      <c r="J3" s="23">
        <f t="shared" ref="J3:J14" si="2">F3/B3</f>
        <v>0.01487007982</v>
      </c>
      <c r="K3" s="21">
        <v>5.077188E11</v>
      </c>
      <c r="L3" s="21">
        <v>5.024676E11</v>
      </c>
      <c r="M3" s="21">
        <f t="shared" ref="M3:M8" si="3">L3-K3</f>
        <v>-5251200000</v>
      </c>
      <c r="N3" s="24"/>
      <c r="O3" s="23">
        <f t="shared" ref="O3:O14" si="4">M3/F3</f>
        <v>-0.004026666544</v>
      </c>
      <c r="P3" s="31">
        <v>0.41327394</v>
      </c>
      <c r="Q3" s="24"/>
      <c r="R3" s="21">
        <f t="shared" ref="R3:R8" si="5">P3*F3</f>
        <v>538953024798</v>
      </c>
      <c r="S3" s="31">
        <v>0.03939988</v>
      </c>
      <c r="T3" s="21">
        <f t="shared" ref="T3:T14" si="6">R3*S3</f>
        <v>21234684503</v>
      </c>
      <c r="U3" s="23">
        <f t="shared" ref="U3:U14" si="7">T3/F3</f>
        <v>0.01628294364</v>
      </c>
      <c r="V3" s="31">
        <v>0.03635961</v>
      </c>
      <c r="W3" s="21">
        <f t="shared" ref="W3:W14" si="8">F3/H3</f>
        <v>10369.55374</v>
      </c>
      <c r="X3" s="25">
        <f t="shared" ref="X3:X14" si="9">W3*(1-V3)</f>
        <v>9992.520807</v>
      </c>
      <c r="Y3" s="3">
        <v>0.77</v>
      </c>
      <c r="Z3" s="3"/>
      <c r="AA3" s="41">
        <v>0.446</v>
      </c>
      <c r="AB3" s="3"/>
      <c r="AC3" s="26">
        <f t="shared" ref="AC3:AC14" si="10">Y3-AA3</f>
        <v>0.324</v>
      </c>
      <c r="AD3" s="27">
        <f t="shared" ref="AD3:AG3" si="1">AD4+($AH3-$AH4)/4</f>
        <v>0.1559595891</v>
      </c>
      <c r="AE3" s="27">
        <f t="shared" si="1"/>
        <v>0.03295958907</v>
      </c>
      <c r="AF3" s="27">
        <f t="shared" si="1"/>
        <v>0.05995958907</v>
      </c>
      <c r="AG3" s="27">
        <f t="shared" si="1"/>
        <v>0.01795958907</v>
      </c>
      <c r="AH3" s="23">
        <f t="shared" ref="AH3:AH8" si="12">AH4*95%</f>
        <v>0.2668383563</v>
      </c>
      <c r="AI3" s="39">
        <f t="shared" ref="AI3:AI14" si="13">AH3+J3+O3-U3</f>
        <v>0.2613988259</v>
      </c>
      <c r="AJ3" s="29">
        <f t="shared" ref="AJ3:AJ14" si="14">X3*AC3</f>
        <v>3237.576742</v>
      </c>
      <c r="AK3" s="30" t="str">
        <f t="shared" ref="AK3:AK14" si="15">IFS(
AJ3&lt;=2500,"D-",
AJ3&lt;=5000,"D",
AJ3&lt;=10000,"D+",
AJ3&lt;=12500,"C-",
AJ3&lt;=15000,"C",
AJ3&lt;=20000,"C+",
AJ3&lt;=25000,"B-",
AJ3&lt;=30000,"B",
AJ3&lt;=35000,"B+",
AJ3&lt;=40000,"A-",
AJ3&lt;=50000,"A",
AJ3&lt;=100000,"A+",
TRUE,"Out of range"
)
</f>
        <v>D</v>
      </c>
      <c r="AL3" s="30" t="str">
        <f t="shared" ref="AL3:AL14" si="16">CONCAT(ROUND(AI3,2),AK3)</f>
        <v>0.26D</v>
      </c>
    </row>
    <row r="4">
      <c r="A4" s="1">
        <v>2020.0</v>
      </c>
      <c r="B4" s="21">
        <f>84.75*1000000000000</f>
        <v>84750000000000</v>
      </c>
      <c r="C4" s="24">
        <f t="shared" ref="C4:C13" si="17">(B4-B3)/B3</f>
        <v>-0.03363740023</v>
      </c>
      <c r="D4" s="22">
        <f>7.89*10^9</f>
        <v>7890000000</v>
      </c>
      <c r="E4" s="24">
        <f t="shared" ref="E4:E13" si="18">(D4-D3)/D3</f>
        <v>0.01024327785</v>
      </c>
      <c r="F4" s="21">
        <v>1.121065E12</v>
      </c>
      <c r="G4" s="24">
        <f t="shared" ref="G4:G13" si="19">(F4-F3)/F3</f>
        <v>-0.1403574556</v>
      </c>
      <c r="H4" s="32">
        <v>1.26799054E8</v>
      </c>
      <c r="I4" s="24">
        <f t="shared" ref="I4:I13" si="20">(H4-H3)/H3</f>
        <v>0.00823829066</v>
      </c>
      <c r="J4" s="23">
        <f t="shared" si="2"/>
        <v>0.0132279056</v>
      </c>
      <c r="K4" s="21">
        <v>4.217354E11</v>
      </c>
      <c r="L4" s="21">
        <v>4.398539E11</v>
      </c>
      <c r="M4" s="21">
        <f t="shared" si="3"/>
        <v>18118500000</v>
      </c>
      <c r="N4" s="24">
        <f t="shared" ref="N4:N14" si="21">(M4-M3)/M3</f>
        <v>-4.450354205</v>
      </c>
      <c r="O4" s="23">
        <f t="shared" si="4"/>
        <v>0.01616186394</v>
      </c>
      <c r="P4" s="31">
        <v>0.45837345999999995</v>
      </c>
      <c r="Q4" s="24">
        <f t="shared" ref="Q4:Q13" si="22">(P4-P3)/P3</f>
        <v>0.1091274228</v>
      </c>
      <c r="R4" s="21">
        <f t="shared" si="5"/>
        <v>513866442935</v>
      </c>
      <c r="S4" s="31">
        <v>0.01645842</v>
      </c>
      <c r="T4" s="21">
        <f t="shared" si="6"/>
        <v>8457429742</v>
      </c>
      <c r="U4" s="23">
        <f t="shared" si="7"/>
        <v>0.007544102922</v>
      </c>
      <c r="V4" s="31">
        <v>0.03396834</v>
      </c>
      <c r="W4" s="21">
        <f t="shared" si="8"/>
        <v>8841.272586</v>
      </c>
      <c r="X4" s="25">
        <f t="shared" si="9"/>
        <v>8540.949232</v>
      </c>
      <c r="Y4" s="3">
        <v>0.78</v>
      </c>
      <c r="Z4" s="31">
        <f t="shared" ref="Z4:Z13" si="23">(Y4-Y3)/Y3</f>
        <v>0.01298701299</v>
      </c>
      <c r="AA4" s="41">
        <v>0.446</v>
      </c>
      <c r="AB4" s="31">
        <f t="shared" ref="AB4:AB13" si="24">(AA4-AA3)/AA4</f>
        <v>0</v>
      </c>
      <c r="AC4" s="26">
        <f t="shared" si="10"/>
        <v>0.334</v>
      </c>
      <c r="AD4" s="27">
        <f t="shared" ref="AD4:AG4" si="11">AD5+($AH4-$AH5)/4</f>
        <v>0.1594706201</v>
      </c>
      <c r="AE4" s="27">
        <f t="shared" si="11"/>
        <v>0.03647062008</v>
      </c>
      <c r="AF4" s="27">
        <f t="shared" si="11"/>
        <v>0.06347062008</v>
      </c>
      <c r="AG4" s="27">
        <f t="shared" si="11"/>
        <v>0.02147062008</v>
      </c>
      <c r="AH4" s="23">
        <f t="shared" si="12"/>
        <v>0.2808824803</v>
      </c>
      <c r="AI4" s="39">
        <f t="shared" si="13"/>
        <v>0.3027281469</v>
      </c>
      <c r="AJ4" s="29">
        <f t="shared" si="14"/>
        <v>2852.677044</v>
      </c>
      <c r="AK4" s="30" t="str">
        <f t="shared" si="15"/>
        <v>D</v>
      </c>
      <c r="AL4" s="30" t="str">
        <f t="shared" si="16"/>
        <v>0.3D</v>
      </c>
    </row>
    <row r="5">
      <c r="A5" s="1">
        <v>2021.0</v>
      </c>
      <c r="B5" s="21">
        <f>96.14*1000000000000</f>
        <v>96140000000000</v>
      </c>
      <c r="C5" s="24">
        <f t="shared" si="17"/>
        <v>0.1343952802</v>
      </c>
      <c r="D5" s="22">
        <f>7.95*10^9</f>
        <v>7950000000</v>
      </c>
      <c r="E5" s="24">
        <f t="shared" si="18"/>
        <v>0.007604562738</v>
      </c>
      <c r="F5" s="21">
        <v>1.316569E12</v>
      </c>
      <c r="G5" s="24">
        <f t="shared" si="19"/>
        <v>0.1743913154</v>
      </c>
      <c r="H5" s="32">
        <v>1.27648148E8</v>
      </c>
      <c r="I5" s="24">
        <f t="shared" si="20"/>
        <v>0.00669637488</v>
      </c>
      <c r="J5" s="23">
        <f t="shared" si="2"/>
        <v>0.01369428958</v>
      </c>
      <c r="K5" s="21">
        <v>5.595434E11</v>
      </c>
      <c r="L5" s="21">
        <v>5.341216E11</v>
      </c>
      <c r="M5" s="21">
        <f t="shared" si="3"/>
        <v>-25421800000</v>
      </c>
      <c r="N5" s="24">
        <f t="shared" si="21"/>
        <v>-2.403085244</v>
      </c>
      <c r="O5" s="23">
        <f t="shared" si="4"/>
        <v>-0.0193091285</v>
      </c>
      <c r="P5" s="31">
        <v>0.44860956</v>
      </c>
      <c r="Q5" s="24">
        <f t="shared" si="22"/>
        <v>-0.02130118965</v>
      </c>
      <c r="R5" s="21">
        <f t="shared" si="5"/>
        <v>590625439800</v>
      </c>
      <c r="S5" s="31">
        <v>0.00386354</v>
      </c>
      <c r="T5" s="21">
        <f t="shared" si="6"/>
        <v>2281905012</v>
      </c>
      <c r="U5" s="23">
        <f t="shared" si="7"/>
        <v>0.001733220979</v>
      </c>
      <c r="V5" s="31">
        <v>0.05689208</v>
      </c>
      <c r="W5" s="21">
        <f t="shared" si="8"/>
        <v>10314.04702</v>
      </c>
      <c r="X5" s="25">
        <f t="shared" si="9"/>
        <v>9727.259428</v>
      </c>
      <c r="Y5" s="3">
        <v>0.76</v>
      </c>
      <c r="Z5" s="31">
        <f t="shared" si="23"/>
        <v>-0.02564102564</v>
      </c>
      <c r="AA5" s="41">
        <f>AVERAGE(AA4,AA6)</f>
        <v>0.4405</v>
      </c>
      <c r="AB5" s="31">
        <f t="shared" si="24"/>
        <v>-0.01248581158</v>
      </c>
      <c r="AC5" s="26">
        <f t="shared" si="10"/>
        <v>0.3195</v>
      </c>
      <c r="AD5" s="27">
        <f t="shared" ref="AD5:AG5" si="25">AD6+($AH5-$AH6)/4</f>
        <v>0.1631664422</v>
      </c>
      <c r="AE5" s="27">
        <f t="shared" si="25"/>
        <v>0.04016644219</v>
      </c>
      <c r="AF5" s="27">
        <f t="shared" si="25"/>
        <v>0.06716644219</v>
      </c>
      <c r="AG5" s="27">
        <f t="shared" si="25"/>
        <v>0.02516644219</v>
      </c>
      <c r="AH5" s="23">
        <f t="shared" si="12"/>
        <v>0.2956657688</v>
      </c>
      <c r="AI5" s="39">
        <f t="shared" si="13"/>
        <v>0.2883177088</v>
      </c>
      <c r="AJ5" s="29">
        <f t="shared" si="14"/>
        <v>3107.859387</v>
      </c>
      <c r="AK5" s="30" t="str">
        <f t="shared" si="15"/>
        <v>D</v>
      </c>
      <c r="AL5" s="30" t="str">
        <f t="shared" si="16"/>
        <v>0.29D</v>
      </c>
    </row>
    <row r="6">
      <c r="A6" s="1">
        <v>2022.0</v>
      </c>
      <c r="B6" s="21">
        <f>101.56*1000000000000</f>
        <v>101560000000000</v>
      </c>
      <c r="C6" s="24">
        <f t="shared" si="17"/>
        <v>0.05637611816</v>
      </c>
      <c r="D6" s="22">
        <f>8.02*10^9</f>
        <v>8020000000</v>
      </c>
      <c r="E6" s="24">
        <f t="shared" si="18"/>
        <v>0.008805031447</v>
      </c>
      <c r="F6" s="21">
        <v>1.466935E12</v>
      </c>
      <c r="G6" s="24">
        <f t="shared" si="19"/>
        <v>0.1142104971</v>
      </c>
      <c r="H6" s="32">
        <v>1.28613117E8</v>
      </c>
      <c r="I6" s="24">
        <f t="shared" si="20"/>
        <v>0.007559600473</v>
      </c>
      <c r="J6" s="23">
        <f t="shared" si="2"/>
        <v>0.01444402324</v>
      </c>
      <c r="K6" s="21">
        <v>6.728271E11</v>
      </c>
      <c r="L6" s="21">
        <v>6.297887E11</v>
      </c>
      <c r="M6" s="21">
        <f t="shared" si="3"/>
        <v>-43038400000</v>
      </c>
      <c r="N6" s="24">
        <f t="shared" si="21"/>
        <v>0.6929721735</v>
      </c>
      <c r="O6" s="23">
        <f t="shared" si="4"/>
        <v>-0.02933899593</v>
      </c>
      <c r="P6" s="31">
        <v>0.4396944</v>
      </c>
      <c r="Q6" s="24">
        <f t="shared" si="22"/>
        <v>-0.01987287119</v>
      </c>
      <c r="R6" s="21">
        <f t="shared" si="5"/>
        <v>645003104664</v>
      </c>
      <c r="S6" s="31">
        <v>0.01417985</v>
      </c>
      <c r="T6" s="21">
        <f t="shared" si="6"/>
        <v>9146047274</v>
      </c>
      <c r="U6" s="23">
        <f t="shared" si="7"/>
        <v>0.006234800638</v>
      </c>
      <c r="V6" s="31">
        <v>0.07896276</v>
      </c>
      <c r="W6" s="21">
        <f t="shared" si="8"/>
        <v>11405.79619</v>
      </c>
      <c r="X6" s="25">
        <f t="shared" si="9"/>
        <v>10505.16304</v>
      </c>
      <c r="Y6" s="3">
        <v>0.78</v>
      </c>
      <c r="Z6" s="31">
        <f t="shared" si="23"/>
        <v>0.02631578947</v>
      </c>
      <c r="AA6" s="41">
        <v>0.435</v>
      </c>
      <c r="AB6" s="31">
        <f t="shared" si="24"/>
        <v>-0.01264367816</v>
      </c>
      <c r="AC6" s="26">
        <f t="shared" si="10"/>
        <v>0.345</v>
      </c>
      <c r="AD6" s="27">
        <f t="shared" ref="AD6:AG6" si="26">AD7+($AH6-$AH7)/4</f>
        <v>0.1670567813</v>
      </c>
      <c r="AE6" s="27">
        <f t="shared" si="26"/>
        <v>0.04405678125</v>
      </c>
      <c r="AF6" s="27">
        <f t="shared" si="26"/>
        <v>0.07105678125</v>
      </c>
      <c r="AG6" s="27">
        <f t="shared" si="26"/>
        <v>0.02905678125</v>
      </c>
      <c r="AH6" s="23">
        <f t="shared" si="12"/>
        <v>0.311227125</v>
      </c>
      <c r="AI6" s="39">
        <f t="shared" si="13"/>
        <v>0.2900973517</v>
      </c>
      <c r="AJ6" s="29">
        <f t="shared" si="14"/>
        <v>3624.28125</v>
      </c>
      <c r="AK6" s="30" t="str">
        <f t="shared" si="15"/>
        <v>D</v>
      </c>
      <c r="AL6" s="30" t="str">
        <f t="shared" si="16"/>
        <v>0.29D</v>
      </c>
    </row>
    <row r="7">
      <c r="A7" s="1">
        <v>2023.0</v>
      </c>
      <c r="B7" s="21">
        <f>106.8*1000000000000</f>
        <v>106800000000000</v>
      </c>
      <c r="C7" s="24">
        <f t="shared" si="17"/>
        <v>0.05159511619</v>
      </c>
      <c r="D7" s="32">
        <f>8.09*10^9</f>
        <v>8090000000</v>
      </c>
      <c r="E7" s="24">
        <f t="shared" si="18"/>
        <v>0.008728179551</v>
      </c>
      <c r="F7" s="21">
        <v>1.798318E12</v>
      </c>
      <c r="G7" s="24">
        <f t="shared" si="19"/>
        <v>0.2259016248</v>
      </c>
      <c r="H7" s="32">
        <v>1.29739759E8</v>
      </c>
      <c r="I7" s="24">
        <f t="shared" si="20"/>
        <v>0.008759930762</v>
      </c>
      <c r="J7" s="23">
        <f t="shared" si="2"/>
        <v>0.01683818352</v>
      </c>
      <c r="K7" s="21">
        <v>6.745393E11</v>
      </c>
      <c r="L7" s="21">
        <v>6.486423E11</v>
      </c>
      <c r="M7" s="21">
        <f t="shared" si="3"/>
        <v>-25897000000</v>
      </c>
      <c r="N7" s="24">
        <f t="shared" si="21"/>
        <v>-0.3982815346</v>
      </c>
      <c r="O7" s="23">
        <f t="shared" si="4"/>
        <v>-0.01440067886</v>
      </c>
      <c r="P7" s="31">
        <v>0.4502976</v>
      </c>
      <c r="Q7" s="24">
        <f t="shared" si="22"/>
        <v>0.02411493073</v>
      </c>
      <c r="R7" s="21">
        <f t="shared" si="5"/>
        <v>809778279437</v>
      </c>
      <c r="S7" s="31">
        <v>0.06629295</v>
      </c>
      <c r="T7" s="21">
        <f t="shared" si="6"/>
        <v>53682590990</v>
      </c>
      <c r="U7" s="23">
        <f t="shared" si="7"/>
        <v>0.02985155628</v>
      </c>
      <c r="V7" s="31">
        <v>0.05527961000000001</v>
      </c>
      <c r="W7" s="21">
        <f t="shared" si="8"/>
        <v>13860.96301</v>
      </c>
      <c r="X7" s="25">
        <f t="shared" si="9"/>
        <v>13094.73438</v>
      </c>
      <c r="Y7" s="3">
        <v>0.79</v>
      </c>
      <c r="Z7" s="31">
        <f t="shared" si="23"/>
        <v>0.01282051282</v>
      </c>
      <c r="AA7" s="41">
        <f>AVERAGE(AA6,AA9)</f>
        <v>0.4185</v>
      </c>
      <c r="AB7" s="31">
        <f t="shared" si="24"/>
        <v>-0.0394265233</v>
      </c>
      <c r="AC7" s="26">
        <f t="shared" si="10"/>
        <v>0.3715</v>
      </c>
      <c r="AD7" s="27">
        <f t="shared" ref="AD7:AG7" si="27">AD8+($AH7-$AH8)/4</f>
        <v>0.171151875</v>
      </c>
      <c r="AE7" s="27">
        <f t="shared" si="27"/>
        <v>0.048151875</v>
      </c>
      <c r="AF7" s="27">
        <f t="shared" si="27"/>
        <v>0.075151875</v>
      </c>
      <c r="AG7" s="27">
        <f t="shared" si="27"/>
        <v>0.033151875</v>
      </c>
      <c r="AH7" s="23">
        <f t="shared" si="12"/>
        <v>0.3276075</v>
      </c>
      <c r="AI7" s="39">
        <f t="shared" si="13"/>
        <v>0.3001934484</v>
      </c>
      <c r="AJ7" s="29">
        <f t="shared" si="14"/>
        <v>4864.693821</v>
      </c>
      <c r="AK7" s="30" t="str">
        <f t="shared" si="15"/>
        <v>D</v>
      </c>
      <c r="AL7" s="30" t="str">
        <f t="shared" si="16"/>
        <v>0.3D</v>
      </c>
    </row>
    <row r="8">
      <c r="A8" s="1">
        <v>2024.0</v>
      </c>
      <c r="B8" s="21">
        <f>112.6*1000000000000</f>
        <v>112600000000000</v>
      </c>
      <c r="C8" s="24">
        <f t="shared" si="17"/>
        <v>0.0543071161</v>
      </c>
      <c r="D8" s="32">
        <v>8.161972572E9</v>
      </c>
      <c r="E8" s="24">
        <f t="shared" si="18"/>
        <v>0.008896486032</v>
      </c>
      <c r="F8" s="21">
        <v>1.856366E12</v>
      </c>
      <c r="G8" s="24">
        <f t="shared" si="19"/>
        <v>0.03227905187</v>
      </c>
      <c r="H8" s="32">
        <v>1.30861007E8</v>
      </c>
      <c r="I8" s="24">
        <f t="shared" si="20"/>
        <v>0.008642285207</v>
      </c>
      <c r="J8" s="23">
        <f t="shared" si="2"/>
        <v>0.01648637655</v>
      </c>
      <c r="K8" s="21">
        <v>7.032941E11</v>
      </c>
      <c r="L8" s="21">
        <v>6.813487E11</v>
      </c>
      <c r="M8" s="21">
        <f t="shared" si="3"/>
        <v>-21945400000</v>
      </c>
      <c r="N8" s="24">
        <f t="shared" si="21"/>
        <v>-0.152589103</v>
      </c>
      <c r="O8" s="23">
        <f t="shared" si="4"/>
        <v>-0.01182169895</v>
      </c>
      <c r="P8" s="31">
        <f>AVERAGE(P7,P9)</f>
        <v>0.4736488</v>
      </c>
      <c r="Q8" s="24">
        <f t="shared" si="22"/>
        <v>0.05185726062</v>
      </c>
      <c r="R8" s="21">
        <f t="shared" si="5"/>
        <v>879265528261</v>
      </c>
      <c r="S8" s="31">
        <v>0.06022835</v>
      </c>
      <c r="T8" s="21">
        <f t="shared" si="6"/>
        <v>52956711979</v>
      </c>
      <c r="U8" s="23">
        <f t="shared" si="7"/>
        <v>0.0285270857</v>
      </c>
      <c r="V8" s="31">
        <v>0.04722256</v>
      </c>
      <c r="W8" s="21">
        <f t="shared" si="8"/>
        <v>14185.78416</v>
      </c>
      <c r="X8" s="25">
        <f t="shared" si="9"/>
        <v>13515.89511</v>
      </c>
      <c r="Y8" s="3">
        <v>0.79</v>
      </c>
      <c r="Z8" s="31">
        <f t="shared" si="23"/>
        <v>0</v>
      </c>
      <c r="AA8" s="41">
        <f>AVERAGE(AA7,AA9)</f>
        <v>0.41025</v>
      </c>
      <c r="AB8" s="31">
        <f t="shared" si="24"/>
        <v>-0.02010968921</v>
      </c>
      <c r="AC8" s="26">
        <f t="shared" si="10"/>
        <v>0.37975</v>
      </c>
      <c r="AD8" s="27">
        <f t="shared" ref="AD8:AG8" si="28">AD9+($AH8-$AH9)/4</f>
        <v>0.1754625</v>
      </c>
      <c r="AE8" s="27">
        <f t="shared" si="28"/>
        <v>0.0524625</v>
      </c>
      <c r="AF8" s="27">
        <f t="shared" si="28"/>
        <v>0.0794625</v>
      </c>
      <c r="AG8" s="27">
        <f t="shared" si="28"/>
        <v>0.0374625</v>
      </c>
      <c r="AH8" s="23">
        <f t="shared" si="12"/>
        <v>0.34485</v>
      </c>
      <c r="AI8" s="39">
        <f t="shared" si="13"/>
        <v>0.3209875919</v>
      </c>
      <c r="AJ8" s="29">
        <f t="shared" si="14"/>
        <v>5132.66117</v>
      </c>
      <c r="AK8" s="30" t="str">
        <f t="shared" si="15"/>
        <v>D+</v>
      </c>
      <c r="AL8" s="30" t="str">
        <f t="shared" si="16"/>
        <v>0.32D+</v>
      </c>
    </row>
    <row r="9">
      <c r="A9" s="1">
        <v>2025.0</v>
      </c>
      <c r="B9" s="33">
        <v>1.13795678E14</v>
      </c>
      <c r="C9" s="24">
        <f t="shared" si="17"/>
        <v>0.01061880995</v>
      </c>
      <c r="D9" s="32">
        <v>8.23161307E9</v>
      </c>
      <c r="E9" s="24">
        <f t="shared" si="18"/>
        <v>0.008532312181</v>
      </c>
      <c r="F9" s="33">
        <v>1.693E12</v>
      </c>
      <c r="G9" s="24">
        <f t="shared" si="19"/>
        <v>-0.08800312007</v>
      </c>
      <c r="H9" s="32">
        <v>1.32E8</v>
      </c>
      <c r="I9" s="24">
        <f t="shared" si="20"/>
        <v>0.008703837958</v>
      </c>
      <c r="J9" s="23">
        <f t="shared" si="2"/>
        <v>0.01487754219</v>
      </c>
      <c r="K9" s="33">
        <f>1270000000000/2</f>
        <v>635000000000</v>
      </c>
      <c r="L9" s="21">
        <f t="shared" ref="L9:L14" si="29">K9+M9</f>
        <v>608400000000</v>
      </c>
      <c r="M9" s="33">
        <v>-2.66E10</v>
      </c>
      <c r="N9" s="24">
        <f t="shared" si="21"/>
        <v>0.2120991187</v>
      </c>
      <c r="O9" s="23">
        <f t="shared" si="4"/>
        <v>-0.01571175428</v>
      </c>
      <c r="P9" s="24">
        <f>R9/F9</f>
        <v>0.497</v>
      </c>
      <c r="Q9" s="24">
        <f t="shared" si="22"/>
        <v>0.04930066328</v>
      </c>
      <c r="R9" s="33">
        <v>8.41421E11</v>
      </c>
      <c r="S9" s="31">
        <v>0.08</v>
      </c>
      <c r="T9" s="21">
        <f t="shared" si="6"/>
        <v>67313680000</v>
      </c>
      <c r="U9" s="23">
        <f t="shared" si="7"/>
        <v>0.03976</v>
      </c>
      <c r="V9" s="31">
        <v>0.0442</v>
      </c>
      <c r="W9" s="21">
        <f t="shared" si="8"/>
        <v>12825.75758</v>
      </c>
      <c r="X9" s="25">
        <f t="shared" si="9"/>
        <v>12258.85909</v>
      </c>
      <c r="Y9" s="43">
        <v>0.789</v>
      </c>
      <c r="Z9" s="31">
        <f t="shared" si="23"/>
        <v>-0.001265822785</v>
      </c>
      <c r="AA9" s="41">
        <v>0.402</v>
      </c>
      <c r="AB9" s="31">
        <f t="shared" si="24"/>
        <v>-0.02052238806</v>
      </c>
      <c r="AC9" s="26">
        <f t="shared" si="10"/>
        <v>0.387</v>
      </c>
      <c r="AD9" s="31">
        <v>0.18</v>
      </c>
      <c r="AE9" s="31">
        <v>0.057</v>
      </c>
      <c r="AF9" s="31">
        <v>0.084</v>
      </c>
      <c r="AG9" s="31">
        <v>0.042</v>
      </c>
      <c r="AH9" s="23">
        <f>SUM(AD9:AG9)</f>
        <v>0.363</v>
      </c>
      <c r="AI9" s="39">
        <f t="shared" si="13"/>
        <v>0.3224057879</v>
      </c>
      <c r="AJ9" s="29">
        <f t="shared" si="14"/>
        <v>4744.178468</v>
      </c>
      <c r="AK9" s="30" t="str">
        <f t="shared" si="15"/>
        <v>D</v>
      </c>
      <c r="AL9" s="30" t="str">
        <f t="shared" si="16"/>
        <v>0.32D</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1868237739254</v>
      </c>
      <c r="G10" s="24">
        <f t="shared" si="19"/>
        <v>0.1035072293</v>
      </c>
      <c r="H10" s="22">
        <f>AVERAGE(FORECAST(A10,H3:H9,$A$3:$A$9),H9*(AVERAGE(I4:I9)+1))</f>
        <v>132988220.5</v>
      </c>
      <c r="I10" s="24">
        <f t="shared" si="20"/>
        <v>0.007486519086</v>
      </c>
      <c r="J10" s="35">
        <f t="shared" si="2"/>
        <v>0.01556037355</v>
      </c>
      <c r="K10" s="36">
        <f>FORECAST(A10,K3:K9,A3:A9)</f>
        <v>747802142857</v>
      </c>
      <c r="L10" s="36">
        <f t="shared" si="29"/>
        <v>708561471429</v>
      </c>
      <c r="M10" s="21">
        <f>FORECAST(A10,M3:M9,$A$3:$A$9)</f>
        <v>-39240671429</v>
      </c>
      <c r="N10" s="24">
        <f t="shared" si="21"/>
        <v>0.4752132116</v>
      </c>
      <c r="O10" s="24">
        <f t="shared" si="4"/>
        <v>-0.02100411024</v>
      </c>
      <c r="P10" s="24">
        <f>AVERAGE(FORECAST(A10,P3:P9,$A$3:$A$9),P9*(AVERAGE(Q4:Q9)+1))</f>
        <v>0.5039538329</v>
      </c>
      <c r="Q10" s="24">
        <f t="shared" si="22"/>
        <v>0.01399161559</v>
      </c>
      <c r="R10" s="21">
        <f t="shared" ref="R10:R14" si="31">P10*F10</f>
        <v>941505569556</v>
      </c>
      <c r="S10" s="24">
        <f>FORECAST(A10,S3:S9,$A$3:$A$9)</f>
        <v>0.07888466</v>
      </c>
      <c r="T10" s="21">
        <f t="shared" si="6"/>
        <v>74270346743</v>
      </c>
      <c r="U10" s="24">
        <f t="shared" si="7"/>
        <v>0.03975422677</v>
      </c>
      <c r="V10" s="24">
        <f>FORECAST(A10,V3:V9,$A$3:$A$9)</f>
        <v>0.05732887143</v>
      </c>
      <c r="W10" s="21">
        <f t="shared" si="8"/>
        <v>14048.1445</v>
      </c>
      <c r="X10" s="21">
        <f t="shared" si="9"/>
        <v>13242.78023</v>
      </c>
      <c r="Y10" s="37">
        <f>AVERAGE(FORECAST(A10,Y3:Y9,$A$3:$A$9),Y9*(AVERAGE(Z4:Z9)+1))</f>
        <v>0.7937294113</v>
      </c>
      <c r="Z10" s="31">
        <f t="shared" si="23"/>
        <v>0.005994184116</v>
      </c>
      <c r="AA10" s="38">
        <f>AVERAGE(FORECAST(A10,AA3:AA9,$A$3:$A$9),AA9*(AVERAGE(AB4:AB9)+1))</f>
        <v>0.3955297704</v>
      </c>
      <c r="AB10" s="31">
        <f t="shared" si="24"/>
        <v>-0.01635838837</v>
      </c>
      <c r="AC10" s="37">
        <f t="shared" si="10"/>
        <v>0.3981996409</v>
      </c>
      <c r="AD10" s="27">
        <f t="shared" ref="AD10:AG10" si="30">AD9+($AH10-$AH9)/4</f>
        <v>0.1845375</v>
      </c>
      <c r="AE10" s="27">
        <f t="shared" si="30"/>
        <v>0.0615375</v>
      </c>
      <c r="AF10" s="27">
        <f t="shared" si="30"/>
        <v>0.0885375</v>
      </c>
      <c r="AG10" s="27">
        <f t="shared" si="30"/>
        <v>0.0465375</v>
      </c>
      <c r="AH10" s="24">
        <f t="shared" ref="AH10:AH14" si="33">AH9*1.05</f>
        <v>0.38115</v>
      </c>
      <c r="AI10" s="38">
        <f t="shared" si="13"/>
        <v>0.3359520365</v>
      </c>
      <c r="AJ10" s="21">
        <f t="shared" si="14"/>
        <v>5273.270333</v>
      </c>
      <c r="AK10" s="30" t="str">
        <f t="shared" si="15"/>
        <v>D+</v>
      </c>
      <c r="AL10" s="30" t="str">
        <f t="shared" si="16"/>
        <v>0.34D+</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2001586747155</v>
      </c>
      <c r="G11" s="24">
        <f t="shared" si="19"/>
        <v>0.07137689444</v>
      </c>
      <c r="H11" s="22">
        <f>AVERAGE(FORECAST($A11,H3:H10,$A3:$A10),H10*(AVERAGE(I4:I10)+1))</f>
        <v>134017297.6</v>
      </c>
      <c r="I11" s="24">
        <f t="shared" si="20"/>
        <v>0.007738106854</v>
      </c>
      <c r="J11" s="35">
        <f t="shared" si="2"/>
        <v>0.01591902112</v>
      </c>
      <c r="K11" s="36">
        <f>FORECAST(A11,K3:K10,A3:A10)</f>
        <v>785657746429</v>
      </c>
      <c r="L11" s="21">
        <f t="shared" si="29"/>
        <v>741251025000</v>
      </c>
      <c r="M11" s="21">
        <f>FORECAST(A11,M3:M10,$A3:$A10)</f>
        <v>-44406721429</v>
      </c>
      <c r="N11" s="24">
        <f t="shared" si="21"/>
        <v>0.1316503977</v>
      </c>
      <c r="O11" s="24">
        <f t="shared" si="4"/>
        <v>-0.02218575912</v>
      </c>
      <c r="P11" s="24">
        <f>AVERAGE(FORECAST($A11,P3:P10,$A3:$A10),P10*(AVERAGE(Q4:Q10)+1))</f>
        <v>0.514211073</v>
      </c>
      <c r="Q11" s="24">
        <f t="shared" si="22"/>
        <v>0.02035353115</v>
      </c>
      <c r="R11" s="21">
        <f t="shared" si="31"/>
        <v>1029238068924</v>
      </c>
      <c r="S11" s="24">
        <f>FORECAST($A11,S3:S10,$A3:$A10)</f>
        <v>0.08859071821</v>
      </c>
      <c r="T11" s="21">
        <f t="shared" si="6"/>
        <v>91180939739</v>
      </c>
      <c r="U11" s="24">
        <f t="shared" si="7"/>
        <v>0.04555432827</v>
      </c>
      <c r="V11" s="24">
        <f>FORECAST($A11,V3:V10,$A3:$A10)</f>
        <v>0.059058055</v>
      </c>
      <c r="W11" s="21">
        <f t="shared" si="8"/>
        <v>14935.28659</v>
      </c>
      <c r="X11" s="21">
        <f t="shared" si="9"/>
        <v>14053.23761</v>
      </c>
      <c r="Y11" s="37">
        <f>AVERAGE(FORECAST($A11,Y3:Y10,$A3:$A10),Y10*(AVERAGE(Z4:Z10)+1))</f>
        <v>0.7977629736</v>
      </c>
      <c r="Z11" s="31">
        <f t="shared" si="23"/>
        <v>0.005081785104</v>
      </c>
      <c r="AA11" s="38">
        <f>AVERAGE(FORECAST($A11,AA3:AA10,$A3:$A10),AA10*(AVERAGE(AB4:AB10)+1))</f>
        <v>0.3882133813</v>
      </c>
      <c r="AB11" s="31">
        <f t="shared" si="24"/>
        <v>-0.01884630834</v>
      </c>
      <c r="AC11" s="37">
        <f t="shared" si="10"/>
        <v>0.4095495922</v>
      </c>
      <c r="AD11" s="27">
        <f t="shared" ref="AD11:AG11" si="32">AD10+($AH11-$AH10)/4</f>
        <v>0.189301875</v>
      </c>
      <c r="AE11" s="27">
        <f t="shared" si="32"/>
        <v>0.066301875</v>
      </c>
      <c r="AF11" s="27">
        <f t="shared" si="32"/>
        <v>0.093301875</v>
      </c>
      <c r="AG11" s="27">
        <f t="shared" si="32"/>
        <v>0.051301875</v>
      </c>
      <c r="AH11" s="24">
        <f t="shared" si="33"/>
        <v>0.4002075</v>
      </c>
      <c r="AI11" s="38">
        <f t="shared" si="13"/>
        <v>0.3483864337</v>
      </c>
      <c r="AJ11" s="21">
        <f t="shared" si="14"/>
        <v>5755.497734</v>
      </c>
      <c r="AK11" s="30" t="str">
        <f t="shared" si="15"/>
        <v>D+</v>
      </c>
      <c r="AL11" s="30" t="str">
        <f t="shared" si="16"/>
        <v>0.35D+</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2121199113638</v>
      </c>
      <c r="G12" s="24">
        <f t="shared" si="19"/>
        <v>0.05975877221</v>
      </c>
      <c r="H12" s="22">
        <f>AVERAGE(FORECAST($A12,H3:H11,$A3:$A11),H11*(AVERAGE(I4:I11)+1))</f>
        <v>135061687.9</v>
      </c>
      <c r="I12" s="24">
        <f t="shared" si="20"/>
        <v>0.007792951912</v>
      </c>
      <c r="J12" s="35">
        <f t="shared" si="2"/>
        <v>0.01616306351</v>
      </c>
      <c r="K12" s="36">
        <f>FORECAST(A12,K3:K11,A3:A11)</f>
        <v>823513350000</v>
      </c>
      <c r="L12" s="21">
        <f t="shared" si="29"/>
        <v>773940578571</v>
      </c>
      <c r="M12" s="21">
        <f>FORECAST(A12,M3:M11,$A3:$A11)</f>
        <v>-49572771429</v>
      </c>
      <c r="N12" s="24">
        <f t="shared" si="21"/>
        <v>0.1163348663</v>
      </c>
      <c r="O12" s="24">
        <f t="shared" si="4"/>
        <v>-0.02337016413</v>
      </c>
      <c r="P12" s="24">
        <f>AVERAGE(FORECAST($A12,P3:P11,$A3:$A11),P11*(AVERAGE(Q4:Q11)+1))</f>
        <v>0.5256682333</v>
      </c>
      <c r="Q12" s="24">
        <f t="shared" si="22"/>
        <v>0.02228104559</v>
      </c>
      <c r="R12" s="21">
        <f t="shared" si="31"/>
        <v>1115046990635</v>
      </c>
      <c r="S12" s="24">
        <f>FORECAST($A12,S3:S11,$A3:$A11)</f>
        <v>0.09829677643</v>
      </c>
      <c r="T12" s="21">
        <f t="shared" si="6"/>
        <v>109605524746</v>
      </c>
      <c r="U12" s="24">
        <f t="shared" si="7"/>
        <v>0.05167149281</v>
      </c>
      <c r="V12" s="24">
        <f>FORECAST($A12,V3:V11,$A3:$A11)</f>
        <v>0.06078723857</v>
      </c>
      <c r="W12" s="21">
        <f t="shared" si="8"/>
        <v>15705.40948</v>
      </c>
      <c r="X12" s="21">
        <f t="shared" si="9"/>
        <v>14750.721</v>
      </c>
      <c r="Y12" s="37">
        <f>AVERAGE(FORECAST($A12,Y3:Y11,$A3:$A11),Y11*(AVERAGE(Z4:Z11)+1))</f>
        <v>0.8015617278</v>
      </c>
      <c r="Z12" s="31">
        <f t="shared" si="23"/>
        <v>0.004761757982</v>
      </c>
      <c r="AA12" s="37">
        <f>AVERAGE(FORECAST($A12,AA3:AA11,$A3:$A11),AA11*(AVERAGE(AB4:AB11)+1))</f>
        <v>0.3806315588</v>
      </c>
      <c r="AB12" s="31">
        <f t="shared" si="24"/>
        <v>-0.01991905923</v>
      </c>
      <c r="AC12" s="37">
        <f t="shared" si="10"/>
        <v>0.420930169</v>
      </c>
      <c r="AD12" s="27">
        <f t="shared" ref="AD12:AG12" si="34">AD11+($AH12-$AH11)/4</f>
        <v>0.1943044688</v>
      </c>
      <c r="AE12" s="27">
        <f t="shared" si="34"/>
        <v>0.07130446875</v>
      </c>
      <c r="AF12" s="27">
        <f t="shared" si="34"/>
        <v>0.09830446875</v>
      </c>
      <c r="AG12" s="27">
        <f t="shared" si="34"/>
        <v>0.05630446875</v>
      </c>
      <c r="AH12" s="24">
        <f t="shared" si="33"/>
        <v>0.420217875</v>
      </c>
      <c r="AI12" s="38">
        <f t="shared" si="13"/>
        <v>0.3613392816</v>
      </c>
      <c r="AJ12" s="21">
        <f t="shared" si="14"/>
        <v>6209.023485</v>
      </c>
      <c r="AK12" s="30" t="str">
        <f t="shared" si="15"/>
        <v>D+</v>
      </c>
      <c r="AL12" s="30" t="str">
        <f t="shared" si="16"/>
        <v>0.36D+</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2236678890625</v>
      </c>
      <c r="G13" s="24">
        <f t="shared" si="19"/>
        <v>0.05444080013</v>
      </c>
      <c r="H13" s="22">
        <f>AVERAGE(FORECAST($A13,H3:H12,$A3:$A12),H12*(AVERAGE(I4:I12)+1))</f>
        <v>136112759.3</v>
      </c>
      <c r="I13" s="24">
        <f t="shared" si="20"/>
        <v>0.007782157499</v>
      </c>
      <c r="J13" s="35">
        <f t="shared" si="2"/>
        <v>0.0163604588</v>
      </c>
      <c r="K13" s="36">
        <f>FORECAST(A13,K3:K12,A3:A12)</f>
        <v>861368953571</v>
      </c>
      <c r="L13" s="21">
        <f t="shared" si="29"/>
        <v>806630132143</v>
      </c>
      <c r="M13" s="21">
        <f>FORECAST(A13,M3:M12,$A3:$A12)</f>
        <v>-54738821429</v>
      </c>
      <c r="N13" s="24">
        <f t="shared" si="21"/>
        <v>0.1042114421</v>
      </c>
      <c r="O13" s="24">
        <f t="shared" si="4"/>
        <v>-0.02447325884</v>
      </c>
      <c r="P13" s="24">
        <f>AVERAGE(FORECAST($A13,P3:P12,$A3:$A12),P12*(AVERAGE(Q4:Q12)+1))</f>
        <v>0.5376073207</v>
      </c>
      <c r="Q13" s="24">
        <f t="shared" si="22"/>
        <v>0.02271221009</v>
      </c>
      <c r="R13" s="21">
        <f t="shared" si="31"/>
        <v>1202454945651</v>
      </c>
      <c r="S13" s="24">
        <f>FORECAST($A13,S3:S12,$A3:$A12)</f>
        <v>0.1080028346</v>
      </c>
      <c r="T13" s="21">
        <f t="shared" si="6"/>
        <v>129868542661</v>
      </c>
      <c r="U13" s="24">
        <f t="shared" si="7"/>
        <v>0.05806311456</v>
      </c>
      <c r="V13" s="24">
        <f>FORECAST($A13,V3:V12,$A3:$A12)</f>
        <v>0.06251642214</v>
      </c>
      <c r="W13" s="21">
        <f t="shared" si="8"/>
        <v>16432.54389</v>
      </c>
      <c r="X13" s="21">
        <f t="shared" si="9"/>
        <v>15405.24004</v>
      </c>
      <c r="Y13" s="37">
        <f>AVERAGE(FORECAST($A13,Y3:Y12,$A3:$A12),Y12*(AVERAGE(Z4:Z12)+1))</f>
        <v>0.8052791527</v>
      </c>
      <c r="Z13" s="31">
        <f t="shared" si="23"/>
        <v>0.00463772756</v>
      </c>
      <c r="AA13" s="37">
        <f>AVERAGE(FORECAST($A13,AA3:AA12,$A3:$A12),AA12*(AVERAGE(AB4:AB12)+1))</f>
        <v>0.3729749714</v>
      </c>
      <c r="AB13" s="31">
        <f t="shared" si="24"/>
        <v>-0.0205284213</v>
      </c>
      <c r="AC13" s="37">
        <f t="shared" si="10"/>
        <v>0.4323041813</v>
      </c>
      <c r="AD13" s="27">
        <f t="shared" ref="AD13:AG13" si="35">AD12+($AH13-$AH12)/4</f>
        <v>0.1995571922</v>
      </c>
      <c r="AE13" s="27">
        <f t="shared" si="35"/>
        <v>0.07655719219</v>
      </c>
      <c r="AF13" s="27">
        <f t="shared" si="35"/>
        <v>0.1035571922</v>
      </c>
      <c r="AG13" s="27">
        <f t="shared" si="35"/>
        <v>0.06155719219</v>
      </c>
      <c r="AH13" s="24">
        <f t="shared" si="33"/>
        <v>0.4412287688</v>
      </c>
      <c r="AI13" s="38">
        <f t="shared" si="13"/>
        <v>0.3750528542</v>
      </c>
      <c r="AJ13" s="21">
        <f t="shared" si="14"/>
        <v>6659.749683</v>
      </c>
      <c r="AK13" s="30" t="str">
        <f t="shared" si="15"/>
        <v>D+</v>
      </c>
      <c r="AL13" s="30" t="str">
        <f t="shared" si="16"/>
        <v>0.38D+</v>
      </c>
    </row>
    <row r="14">
      <c r="A14" s="34">
        <v>2030.0</v>
      </c>
      <c r="B14" s="21">
        <f>AVERAGE(FORECAST($A14,B5:B13,$A5:$A13),B13*(AVERAGE(C6:C13)+1))</f>
        <v>141834754671550</v>
      </c>
      <c r="C14" s="24"/>
      <c r="D14" s="22">
        <f>AVERAGE(FORECAST($A14,D5:D13,$A5:$A13),D13*(AVERAGE(E6:E13)+1))</f>
        <v>8586617399</v>
      </c>
      <c r="E14" s="24"/>
      <c r="F14" s="21">
        <f>AVERAGE(FORECAST($A14,F5:F13,$A5:$A13),F13*(AVERAGE(G6:G13)+1))</f>
        <v>2359902085331</v>
      </c>
      <c r="H14" s="22">
        <f>AVERAGE(FORECAST($A14,H5:H13,$A5:$A13),H13*(AVERAGE(I6:I13)+1))</f>
        <v>137213502.7</v>
      </c>
      <c r="J14" s="35">
        <f t="shared" si="2"/>
        <v>0.01663839086</v>
      </c>
      <c r="K14" s="36">
        <f>FORECAST(A14,K3:K13,A3:A13)</f>
        <v>899224557143</v>
      </c>
      <c r="L14" s="21">
        <f t="shared" si="29"/>
        <v>839319685714</v>
      </c>
      <c r="M14" s="21">
        <f>FORECAST(A14,M3:M13,$A3:$A13)</f>
        <v>-59904871429</v>
      </c>
      <c r="N14" s="24">
        <f t="shared" si="21"/>
        <v>0.0943763469</v>
      </c>
      <c r="O14" s="24">
        <f t="shared" si="4"/>
        <v>-0.02538447328</v>
      </c>
      <c r="P14" s="24">
        <f>AVERAGE(FORECAST($A14,P3:P13,$A3:$A13),P13*(AVERAGE(Q4:Q13)+1))</f>
        <v>0.5497694471</v>
      </c>
      <c r="R14" s="21">
        <f t="shared" si="31"/>
        <v>1297402064717</v>
      </c>
      <c r="S14" s="24">
        <f>FORECAST($A14,S3:S13,$A3:$A13)</f>
        <v>0.1177088929</v>
      </c>
      <c r="T14" s="21">
        <f t="shared" si="6"/>
        <v>152715760628</v>
      </c>
      <c r="U14" s="24">
        <f t="shared" si="7"/>
        <v>0.06471275295</v>
      </c>
      <c r="V14" s="24">
        <f>FORECAST($A14,V3:V13,$A3:$A13)</f>
        <v>0.06424560571</v>
      </c>
      <c r="W14" s="21">
        <f t="shared" si="8"/>
        <v>17198.75988</v>
      </c>
      <c r="X14" s="21">
        <f t="shared" si="9"/>
        <v>16093.81514</v>
      </c>
      <c r="Y14" s="37">
        <f>AVERAGE(FORECAST($A14,Y3:Y13,$A3:$A13),Y13*(AVERAGE(Z4:Z13)+1))</f>
        <v>0.8089687465</v>
      </c>
      <c r="AA14" s="37">
        <f>AVERAGE(FORECAST($A14,AA3:AA13,$A3:$A13),AA13*(AVERAGE(AB4:AB13)+1))</f>
        <v>0.3653086841</v>
      </c>
      <c r="AC14" s="37">
        <f t="shared" si="10"/>
        <v>0.4436600624</v>
      </c>
      <c r="AD14" s="27">
        <f t="shared" ref="AD14:AG14" si="36">AD13+($AH14-$AH13)/4</f>
        <v>0.2050725518</v>
      </c>
      <c r="AE14" s="27">
        <f t="shared" si="36"/>
        <v>0.0820725518</v>
      </c>
      <c r="AF14" s="27">
        <f t="shared" si="36"/>
        <v>0.1090725518</v>
      </c>
      <c r="AG14" s="27">
        <f t="shared" si="36"/>
        <v>0.0670725518</v>
      </c>
      <c r="AH14" s="24">
        <f t="shared" si="33"/>
        <v>0.4632902072</v>
      </c>
      <c r="AI14" s="38">
        <f t="shared" si="13"/>
        <v>0.3898313718</v>
      </c>
      <c r="AJ14" s="21">
        <f t="shared" si="14"/>
        <v>7140.183027</v>
      </c>
      <c r="AK14" s="30" t="str">
        <f t="shared" si="15"/>
        <v>D+</v>
      </c>
      <c r="AL14" s="30" t="str">
        <f t="shared" si="16"/>
        <v>0.39D+</v>
      </c>
    </row>
    <row r="17">
      <c r="D17" s="45"/>
      <c r="E17" s="45"/>
      <c r="F17" s="45"/>
      <c r="G17" s="45"/>
      <c r="H17" s="45"/>
      <c r="I17" s="45"/>
      <c r="J17" s="45"/>
      <c r="K17" s="45"/>
      <c r="L17" s="45"/>
      <c r="M17" s="45"/>
      <c r="N17" s="45"/>
    </row>
    <row r="18">
      <c r="D18" s="45"/>
      <c r="J18" s="46"/>
      <c r="K18" s="46"/>
      <c r="L18" s="46"/>
    </row>
    <row r="19">
      <c r="D19" s="45"/>
      <c r="J19" s="46"/>
      <c r="K19" s="46"/>
      <c r="L19" s="46"/>
    </row>
    <row r="20">
      <c r="D20" s="45"/>
      <c r="J20" s="46"/>
      <c r="K20" s="46"/>
      <c r="L20" s="46"/>
    </row>
    <row r="21">
      <c r="D21" s="45"/>
      <c r="J21" s="46"/>
      <c r="K21" s="46"/>
      <c r="L21" s="46"/>
    </row>
    <row r="22">
      <c r="D22" s="45"/>
      <c r="J22" s="46"/>
      <c r="K22" s="46"/>
      <c r="L22" s="46"/>
    </row>
    <row r="23">
      <c r="D23" s="45"/>
      <c r="J23" s="46"/>
      <c r="K23" s="46"/>
      <c r="L23" s="46"/>
    </row>
  </sheetData>
  <mergeCells count="1">
    <mergeCell ref="B1:AL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23.63"/>
    <col customWidth="1" min="15" max="15" width="18.38"/>
    <col customWidth="1" min="17" max="17" width="18.5"/>
    <col customWidth="1" min="18" max="18" width="16.75"/>
    <col customWidth="1" min="20" max="20" width="14.38"/>
    <col customWidth="1" min="21" max="21" width="20.5"/>
    <col customWidth="1" min="36" max="36" width="19.88"/>
    <col customWidth="1" min="37" max="37" width="16.88"/>
  </cols>
  <sheetData>
    <row r="1">
      <c r="A1" s="1" t="s">
        <v>88</v>
      </c>
      <c r="B1" s="18" t="s">
        <v>120</v>
      </c>
      <c r="AM1" s="18"/>
      <c r="AN1" s="18"/>
      <c r="AO1" s="18"/>
      <c r="AP1" s="18"/>
      <c r="AQ1" s="18"/>
      <c r="AR1" s="18"/>
    </row>
    <row r="2">
      <c r="A2" s="1" t="s">
        <v>90</v>
      </c>
      <c r="B2" s="1" t="s">
        <v>20</v>
      </c>
      <c r="C2" s="1" t="s">
        <v>91</v>
      </c>
      <c r="D2" s="1" t="s">
        <v>92</v>
      </c>
      <c r="E2" s="1" t="s">
        <v>93</v>
      </c>
      <c r="F2" s="1" t="s">
        <v>19</v>
      </c>
      <c r="G2" s="1" t="s">
        <v>94</v>
      </c>
      <c r="H2" s="1" t="s">
        <v>95</v>
      </c>
      <c r="I2" s="1" t="s">
        <v>96</v>
      </c>
      <c r="J2" s="19" t="s">
        <v>97</v>
      </c>
      <c r="K2" s="1" t="s">
        <v>98</v>
      </c>
      <c r="L2" s="1" t="s">
        <v>99</v>
      </c>
      <c r="M2" s="1" t="s">
        <v>100</v>
      </c>
      <c r="N2" s="1" t="s">
        <v>101</v>
      </c>
      <c r="O2" s="19" t="s">
        <v>102</v>
      </c>
      <c r="P2" s="1" t="s">
        <v>103</v>
      </c>
      <c r="Q2" s="1" t="s">
        <v>104</v>
      </c>
      <c r="R2" s="1" t="s">
        <v>105</v>
      </c>
      <c r="S2" s="1" t="s">
        <v>106</v>
      </c>
      <c r="T2" s="1" t="s">
        <v>107</v>
      </c>
      <c r="U2" s="19" t="s">
        <v>108</v>
      </c>
      <c r="V2" s="1" t="s">
        <v>25</v>
      </c>
      <c r="W2" s="1" t="s">
        <v>109</v>
      </c>
      <c r="X2" s="19" t="s">
        <v>5</v>
      </c>
      <c r="Y2" s="1" t="s">
        <v>29</v>
      </c>
      <c r="Z2" s="1" t="s">
        <v>110</v>
      </c>
      <c r="AA2" s="1" t="s">
        <v>30</v>
      </c>
      <c r="AB2" s="1" t="s">
        <v>111</v>
      </c>
      <c r="AC2" s="19" t="s">
        <v>9</v>
      </c>
      <c r="AD2" s="1" t="s">
        <v>112</v>
      </c>
      <c r="AE2" s="1" t="s">
        <v>113</v>
      </c>
      <c r="AF2" s="1" t="s">
        <v>114</v>
      </c>
      <c r="AG2" s="1" t="s">
        <v>115</v>
      </c>
      <c r="AH2" s="19" t="s">
        <v>116</v>
      </c>
      <c r="AI2" s="20" t="s">
        <v>117</v>
      </c>
      <c r="AJ2" s="20" t="s">
        <v>2</v>
      </c>
      <c r="AK2" s="1" t="s">
        <v>118</v>
      </c>
      <c r="AL2" s="1" t="s">
        <v>119</v>
      </c>
      <c r="AM2" s="1"/>
      <c r="AN2" s="1"/>
      <c r="AO2" s="1"/>
      <c r="AP2" s="1"/>
      <c r="AQ2" s="1"/>
      <c r="AR2" s="1"/>
    </row>
    <row r="3">
      <c r="A3" s="1">
        <v>2019.0</v>
      </c>
      <c r="B3" s="21">
        <f>87.7*1000000000000</f>
        <v>87700000000000</v>
      </c>
      <c r="C3" s="21"/>
      <c r="D3" s="22">
        <f>7.81*10^9</f>
        <v>7810000000</v>
      </c>
      <c r="E3" s="22"/>
      <c r="F3" s="21">
        <v>1.693115E12</v>
      </c>
      <c r="G3" s="21"/>
      <c r="H3" s="32">
        <v>1.45453291E8</v>
      </c>
      <c r="I3" s="22"/>
      <c r="J3" s="23">
        <f t="shared" ref="J3:J14" si="2">F3/B3</f>
        <v>0.01930575827</v>
      </c>
      <c r="K3" s="21">
        <v>3.520887E11</v>
      </c>
      <c r="L3" s="21">
        <v>4.814107E11</v>
      </c>
      <c r="M3" s="21">
        <f t="shared" ref="M3:M8" si="3">L3-K3</f>
        <v>129322000000</v>
      </c>
      <c r="N3" s="24"/>
      <c r="O3" s="23">
        <f t="shared" ref="O3:O14" si="4">M3/F3</f>
        <v>0.07638110819</v>
      </c>
      <c r="P3" s="31">
        <v>0.17276048</v>
      </c>
      <c r="Q3" s="24"/>
      <c r="R3" s="21">
        <f t="shared" ref="R3:R8" si="5">P3*F3</f>
        <v>292503360095</v>
      </c>
      <c r="S3" s="31">
        <v>0.0725</v>
      </c>
      <c r="T3" s="21">
        <f t="shared" ref="T3:T14" si="6">R3*S3</f>
        <v>21206493607</v>
      </c>
      <c r="U3" s="23">
        <f t="shared" ref="U3:U14" si="7">T3/F3</f>
        <v>0.0125251348</v>
      </c>
      <c r="V3" s="31">
        <v>0.04472026</v>
      </c>
      <c r="W3" s="21">
        <f t="shared" ref="W3:W14" si="8">F3/H3</f>
        <v>11640.26602</v>
      </c>
      <c r="X3" s="25">
        <f t="shared" ref="X3:X14" si="9">W3*(1-V3)</f>
        <v>11119.71029</v>
      </c>
      <c r="Y3" s="3">
        <v>0.82</v>
      </c>
      <c r="Z3" s="3"/>
      <c r="AA3" s="41">
        <v>0.35700000000000004</v>
      </c>
      <c r="AB3" s="3"/>
      <c r="AC3" s="26">
        <f t="shared" ref="AC3:AC14" si="10">Y3-AA3</f>
        <v>0.463</v>
      </c>
      <c r="AD3" s="27">
        <f t="shared" ref="AD3:AG3" si="1">AD4+($AH3-$AH4)/4</f>
        <v>0.1475487566</v>
      </c>
      <c r="AE3" s="27">
        <f t="shared" si="1"/>
        <v>0.0375487566</v>
      </c>
      <c r="AF3" s="27">
        <f t="shared" si="1"/>
        <v>0.1675487566</v>
      </c>
      <c r="AG3" s="27">
        <f t="shared" si="1"/>
        <v>0.007548756602</v>
      </c>
      <c r="AH3" s="23">
        <f t="shared" ref="AH3:AH8" si="12">AH4*95%</f>
        <v>0.3601950264</v>
      </c>
      <c r="AI3" s="39">
        <f t="shared" ref="AI3:AI14" si="13">AH3+J3+O3-U3</f>
        <v>0.4433567581</v>
      </c>
      <c r="AJ3" s="29">
        <f t="shared" ref="AJ3:AJ14" si="14">X3*AC3</f>
        <v>5148.425865</v>
      </c>
      <c r="AK3" s="30" t="str">
        <f t="shared" ref="AK3:AK14" si="15">IFS(
AJ3&lt;=2500,"D-",
AJ3&lt;=5000,"D",
AJ3&lt;=10000,"D+",
AJ3&lt;=12500,"C-",
AJ3&lt;=15000,"C",
AJ3&lt;=20000,"C+",
AJ3&lt;=25000,"B-",
AJ3&lt;=30000,"B",
AJ3&lt;=35000,"B+",
AJ3&lt;=40000,"A-",
AJ3&lt;=50000,"A",
AJ3&lt;=100000,"A+",
TRUE,"Out of range"
)
</f>
        <v>D+</v>
      </c>
      <c r="AL3" s="30" t="str">
        <f t="shared" ref="AL3:AL14" si="16">CONCAT(ROUND(AI3,2),AK3)</f>
        <v>0.44D+</v>
      </c>
    </row>
    <row r="4">
      <c r="A4" s="1">
        <v>2020.0</v>
      </c>
      <c r="B4" s="21">
        <f>84.75*1000000000000</f>
        <v>84750000000000</v>
      </c>
      <c r="C4" s="24">
        <f t="shared" ref="C4:C13" si="17">(B4-B3)/B3</f>
        <v>-0.03363740023</v>
      </c>
      <c r="D4" s="22">
        <f>7.89*10^9</f>
        <v>7890000000</v>
      </c>
      <c r="E4" s="24">
        <f t="shared" ref="E4:E13" si="18">(D4-D3)/D3</f>
        <v>0.01024327785</v>
      </c>
      <c r="F4" s="21">
        <v>1.493076E12</v>
      </c>
      <c r="G4" s="24">
        <f t="shared" ref="G4:G13" si="19">(F4-F3)/F3</f>
        <v>-0.1181485014</v>
      </c>
      <c r="H4" s="32">
        <v>1.45245148E8</v>
      </c>
      <c r="I4" s="24">
        <f t="shared" ref="I4:I13" si="20">(H4-H3)/H3</f>
        <v>-0.001430995466</v>
      </c>
      <c r="J4" s="23">
        <f t="shared" si="2"/>
        <v>0.01761741593</v>
      </c>
      <c r="K4" s="21">
        <v>3.052552E11</v>
      </c>
      <c r="L4" s="21">
        <v>3.810656E11</v>
      </c>
      <c r="M4" s="21">
        <f t="shared" si="3"/>
        <v>75810400000</v>
      </c>
      <c r="N4" s="24">
        <f t="shared" ref="N4:N14" si="21">(M4-M3)/M3</f>
        <v>-0.4137857441</v>
      </c>
      <c r="O4" s="23">
        <f t="shared" si="4"/>
        <v>0.05077464242</v>
      </c>
      <c r="P4" s="31">
        <v>0.22992021</v>
      </c>
      <c r="Q4" s="24">
        <f t="shared" ref="Q4:Q13" si="22">(P4-P3)/P3</f>
        <v>0.3308611437</v>
      </c>
      <c r="R4" s="21">
        <f t="shared" si="5"/>
        <v>343288347466</v>
      </c>
      <c r="S4" s="31">
        <v>0.045</v>
      </c>
      <c r="T4" s="21">
        <f t="shared" si="6"/>
        <v>15447975636</v>
      </c>
      <c r="U4" s="23">
        <f t="shared" si="7"/>
        <v>0.01034640945</v>
      </c>
      <c r="V4" s="31">
        <v>0.03382198</v>
      </c>
      <c r="W4" s="21">
        <f t="shared" si="8"/>
        <v>10279.69623</v>
      </c>
      <c r="X4" s="25">
        <f t="shared" si="9"/>
        <v>9932.016548</v>
      </c>
      <c r="Y4" s="3">
        <v>0.82</v>
      </c>
      <c r="Z4" s="31">
        <f t="shared" ref="Z4:Z13" si="23">(Y4-Y3)/Y3</f>
        <v>0</v>
      </c>
      <c r="AA4" s="41">
        <v>0.337</v>
      </c>
      <c r="AB4" s="31">
        <f t="shared" ref="AB4:AB13" si="24">(AA4-AA3)/AA4</f>
        <v>-0.05934718101</v>
      </c>
      <c r="AC4" s="26">
        <f t="shared" si="10"/>
        <v>0.483</v>
      </c>
      <c r="AD4" s="27">
        <f t="shared" ref="AD4:AG4" si="11">AD5+($AH4-$AH5)/4</f>
        <v>0.1522881648</v>
      </c>
      <c r="AE4" s="27">
        <f t="shared" si="11"/>
        <v>0.04228816484</v>
      </c>
      <c r="AF4" s="27">
        <f t="shared" si="11"/>
        <v>0.1722881648</v>
      </c>
      <c r="AG4" s="27">
        <f t="shared" si="11"/>
        <v>0.01228816484</v>
      </c>
      <c r="AH4" s="23">
        <f t="shared" si="12"/>
        <v>0.3791526594</v>
      </c>
      <c r="AI4" s="39">
        <f t="shared" si="13"/>
        <v>0.4371983083</v>
      </c>
      <c r="AJ4" s="29">
        <f t="shared" si="14"/>
        <v>4797.163992</v>
      </c>
      <c r="AK4" s="30" t="str">
        <f t="shared" si="15"/>
        <v>D</v>
      </c>
      <c r="AL4" s="30" t="str">
        <f t="shared" si="16"/>
        <v>0.44D</v>
      </c>
    </row>
    <row r="5">
      <c r="A5" s="1">
        <v>2021.0</v>
      </c>
      <c r="B5" s="21">
        <f>96.14*1000000000000</f>
        <v>96140000000000</v>
      </c>
      <c r="C5" s="24">
        <f t="shared" si="17"/>
        <v>0.1343952802</v>
      </c>
      <c r="D5" s="22">
        <f>7.95*10^9</f>
        <v>7950000000</v>
      </c>
      <c r="E5" s="24">
        <f t="shared" si="18"/>
        <v>0.007604562738</v>
      </c>
      <c r="F5" s="21">
        <v>1.829187E12</v>
      </c>
      <c r="G5" s="24">
        <f t="shared" si="19"/>
        <v>0.2251131222</v>
      </c>
      <c r="H5" s="32">
        <v>1.44746762E8</v>
      </c>
      <c r="I5" s="24">
        <f t="shared" si="20"/>
        <v>-0.003431343538</v>
      </c>
      <c r="J5" s="23">
        <f t="shared" si="2"/>
        <v>0.01902628458</v>
      </c>
      <c r="K5" s="21">
        <v>3.765157E11</v>
      </c>
      <c r="L5" s="21">
        <v>5.488003E11</v>
      </c>
      <c r="M5" s="21">
        <f t="shared" si="3"/>
        <v>172284600000</v>
      </c>
      <c r="N5" s="24">
        <f t="shared" si="21"/>
        <v>1.272572101</v>
      </c>
      <c r="O5" s="23">
        <f t="shared" si="4"/>
        <v>0.09418643365</v>
      </c>
      <c r="P5" s="31">
        <v>0.21028751</v>
      </c>
      <c r="Q5" s="24">
        <f t="shared" si="22"/>
        <v>-0.08538918784</v>
      </c>
      <c r="R5" s="21">
        <f t="shared" si="5"/>
        <v>384655179554</v>
      </c>
      <c r="S5" s="31">
        <v>0.055</v>
      </c>
      <c r="T5" s="21">
        <f t="shared" si="6"/>
        <v>21156034875</v>
      </c>
      <c r="U5" s="23">
        <f t="shared" si="7"/>
        <v>0.01156581305</v>
      </c>
      <c r="V5" s="31">
        <v>0.06694459</v>
      </c>
      <c r="W5" s="21">
        <f t="shared" si="8"/>
        <v>12637.15315</v>
      </c>
      <c r="X5" s="25">
        <f t="shared" si="9"/>
        <v>11791.16412</v>
      </c>
      <c r="Y5" s="3">
        <v>0.82</v>
      </c>
      <c r="Z5" s="31">
        <f t="shared" si="23"/>
        <v>0</v>
      </c>
      <c r="AA5" s="41">
        <v>0.35100000000000003</v>
      </c>
      <c r="AB5" s="31">
        <f t="shared" si="24"/>
        <v>0.03988603989</v>
      </c>
      <c r="AC5" s="26">
        <f t="shared" si="10"/>
        <v>0.469</v>
      </c>
      <c r="AD5" s="27">
        <f t="shared" ref="AD5:AG5" si="25">AD6+($AH5-$AH6)/4</f>
        <v>0.1572770156</v>
      </c>
      <c r="AE5" s="27">
        <f t="shared" si="25"/>
        <v>0.04727701563</v>
      </c>
      <c r="AF5" s="27">
        <f t="shared" si="25"/>
        <v>0.1772770156</v>
      </c>
      <c r="AG5" s="27">
        <f t="shared" si="25"/>
        <v>0.01727701563</v>
      </c>
      <c r="AH5" s="23">
        <f t="shared" si="12"/>
        <v>0.3991080625</v>
      </c>
      <c r="AI5" s="39">
        <f t="shared" si="13"/>
        <v>0.5007549677</v>
      </c>
      <c r="AJ5" s="29">
        <f t="shared" si="14"/>
        <v>5530.055971</v>
      </c>
      <c r="AK5" s="30" t="str">
        <f t="shared" si="15"/>
        <v>D+</v>
      </c>
      <c r="AL5" s="30" t="str">
        <f t="shared" si="16"/>
        <v>0.5D+</v>
      </c>
    </row>
    <row r="6">
      <c r="A6" s="1">
        <v>2022.0</v>
      </c>
      <c r="B6" s="21">
        <f>101.56*1000000000000</f>
        <v>101560000000000</v>
      </c>
      <c r="C6" s="24">
        <f t="shared" si="17"/>
        <v>0.05637611816</v>
      </c>
      <c r="D6" s="22">
        <f>8.02*10^9</f>
        <v>8020000000</v>
      </c>
      <c r="E6" s="24">
        <f t="shared" si="18"/>
        <v>0.008805031447</v>
      </c>
      <c r="F6" s="21">
        <v>2.291612E12</v>
      </c>
      <c r="G6" s="24">
        <f t="shared" si="19"/>
        <v>0.2528035679</v>
      </c>
      <c r="H6" s="32">
        <v>1.44236933E8</v>
      </c>
      <c r="I6" s="24">
        <f t="shared" si="20"/>
        <v>-0.003522213506</v>
      </c>
      <c r="J6" s="23">
        <f t="shared" si="2"/>
        <v>0.02256411973</v>
      </c>
      <c r="K6" s="21">
        <v>3.451737E11</v>
      </c>
      <c r="L6" s="21">
        <v>6.352418E11</v>
      </c>
      <c r="M6" s="21">
        <f t="shared" si="3"/>
        <v>290068100000</v>
      </c>
      <c r="N6" s="24">
        <f t="shared" si="21"/>
        <v>0.6836565775</v>
      </c>
      <c r="O6" s="23">
        <f t="shared" si="4"/>
        <v>0.1265781904</v>
      </c>
      <c r="P6" s="31">
        <v>0.19288476</v>
      </c>
      <c r="Q6" s="24">
        <f t="shared" si="22"/>
        <v>-0.08275693597</v>
      </c>
      <c r="R6" s="21">
        <f t="shared" si="5"/>
        <v>442017030633</v>
      </c>
      <c r="S6" s="31">
        <v>0.095</v>
      </c>
      <c r="T6" s="21">
        <f t="shared" si="6"/>
        <v>41991617910</v>
      </c>
      <c r="U6" s="23">
        <f t="shared" si="7"/>
        <v>0.0183240522</v>
      </c>
      <c r="V6" s="31">
        <v>0.1374368</v>
      </c>
      <c r="W6" s="21">
        <f t="shared" si="8"/>
        <v>15887.83089</v>
      </c>
      <c r="X6" s="25">
        <f t="shared" si="9"/>
        <v>13704.25826</v>
      </c>
      <c r="Y6" s="3">
        <v>0.82</v>
      </c>
      <c r="Z6" s="31">
        <f t="shared" si="23"/>
        <v>0</v>
      </c>
      <c r="AA6" s="41">
        <v>0.33899999999999997</v>
      </c>
      <c r="AB6" s="31">
        <f t="shared" si="24"/>
        <v>-0.03539823009</v>
      </c>
      <c r="AC6" s="26">
        <f t="shared" si="10"/>
        <v>0.481</v>
      </c>
      <c r="AD6" s="27">
        <f t="shared" ref="AD6:AG6" si="26">AD7+($AH6-$AH7)/4</f>
        <v>0.1625284375</v>
      </c>
      <c r="AE6" s="27">
        <f t="shared" si="26"/>
        <v>0.0525284375</v>
      </c>
      <c r="AF6" s="27">
        <f t="shared" si="26"/>
        <v>0.1825284375</v>
      </c>
      <c r="AG6" s="27">
        <f t="shared" si="26"/>
        <v>0.0225284375</v>
      </c>
      <c r="AH6" s="23">
        <f t="shared" si="12"/>
        <v>0.42011375</v>
      </c>
      <c r="AI6" s="39">
        <f t="shared" si="13"/>
        <v>0.5509320079</v>
      </c>
      <c r="AJ6" s="29">
        <f t="shared" si="14"/>
        <v>6591.748221</v>
      </c>
      <c r="AK6" s="30" t="str">
        <f t="shared" si="15"/>
        <v>D+</v>
      </c>
      <c r="AL6" s="30" t="str">
        <f t="shared" si="16"/>
        <v>0.55D+</v>
      </c>
    </row>
    <row r="7">
      <c r="A7" s="1">
        <v>2023.0</v>
      </c>
      <c r="B7" s="21">
        <f>106.8*1000000000000</f>
        <v>106800000000000</v>
      </c>
      <c r="C7" s="24">
        <f t="shared" si="17"/>
        <v>0.05159511619</v>
      </c>
      <c r="D7" s="32">
        <f>8.09*10^9</f>
        <v>8090000000</v>
      </c>
      <c r="E7" s="24">
        <f t="shared" si="18"/>
        <v>0.008728179551</v>
      </c>
      <c r="F7" s="21">
        <v>2.071506E12</v>
      </c>
      <c r="G7" s="24">
        <f t="shared" si="19"/>
        <v>-0.09604854574</v>
      </c>
      <c r="H7" s="32">
        <v>1.4382613E8</v>
      </c>
      <c r="I7" s="24">
        <f t="shared" si="20"/>
        <v>-0.002848112418</v>
      </c>
      <c r="J7" s="23">
        <f t="shared" si="2"/>
        <v>0.0193961236</v>
      </c>
      <c r="K7" s="21">
        <v>3.799476E11</v>
      </c>
      <c r="L7" s="21">
        <v>4.659378E11</v>
      </c>
      <c r="M7" s="21">
        <f t="shared" si="3"/>
        <v>85990200000</v>
      </c>
      <c r="N7" s="24">
        <f t="shared" si="21"/>
        <v>-0.7035516832</v>
      </c>
      <c r="O7" s="23">
        <f t="shared" si="4"/>
        <v>0.04151095869</v>
      </c>
      <c r="P7" s="31">
        <v>0.18503223</v>
      </c>
      <c r="Q7" s="24">
        <f t="shared" si="22"/>
        <v>-0.04071099241</v>
      </c>
      <c r="R7" s="21">
        <f t="shared" si="5"/>
        <v>383295374638</v>
      </c>
      <c r="S7" s="31">
        <v>0.075</v>
      </c>
      <c r="T7" s="21">
        <f t="shared" si="6"/>
        <v>28747153098</v>
      </c>
      <c r="U7" s="23">
        <f t="shared" si="7"/>
        <v>0.01387741725</v>
      </c>
      <c r="V7" s="31">
        <v>0.058657190000000005</v>
      </c>
      <c r="W7" s="21">
        <f t="shared" si="8"/>
        <v>14402.84877</v>
      </c>
      <c r="X7" s="25">
        <f t="shared" si="9"/>
        <v>13558.01814</v>
      </c>
      <c r="Y7" s="3">
        <v>0.83</v>
      </c>
      <c r="Z7" s="31">
        <f t="shared" si="23"/>
        <v>0.01219512195</v>
      </c>
      <c r="AA7" s="41">
        <v>0.33</v>
      </c>
      <c r="AB7" s="31">
        <f t="shared" si="24"/>
        <v>-0.02727272727</v>
      </c>
      <c r="AC7" s="26">
        <f t="shared" si="10"/>
        <v>0.5</v>
      </c>
      <c r="AD7" s="27">
        <f t="shared" ref="AD7:AG7" si="27">AD8+($AH7-$AH8)/4</f>
        <v>0.16805625</v>
      </c>
      <c r="AE7" s="27">
        <f t="shared" si="27"/>
        <v>0.05805625</v>
      </c>
      <c r="AF7" s="27">
        <f t="shared" si="27"/>
        <v>0.18805625</v>
      </c>
      <c r="AG7" s="27">
        <f t="shared" si="27"/>
        <v>0.02805625</v>
      </c>
      <c r="AH7" s="23">
        <f t="shared" si="12"/>
        <v>0.442225</v>
      </c>
      <c r="AI7" s="39">
        <f t="shared" si="13"/>
        <v>0.489254665</v>
      </c>
      <c r="AJ7" s="29">
        <f t="shared" si="14"/>
        <v>6779.009068</v>
      </c>
      <c r="AK7" s="30" t="str">
        <f t="shared" si="15"/>
        <v>D+</v>
      </c>
      <c r="AL7" s="30" t="str">
        <f t="shared" si="16"/>
        <v>0.49D+</v>
      </c>
    </row>
    <row r="8">
      <c r="A8" s="1">
        <v>2024.0</v>
      </c>
      <c r="B8" s="21">
        <f>112.6*1000000000000</f>
        <v>112600000000000</v>
      </c>
      <c r="C8" s="24">
        <f t="shared" si="17"/>
        <v>0.0543071161</v>
      </c>
      <c r="D8" s="32">
        <v>8.161972572E9</v>
      </c>
      <c r="E8" s="24">
        <f t="shared" si="18"/>
        <v>0.008896486032</v>
      </c>
      <c r="F8" s="21">
        <v>2.173836E12</v>
      </c>
      <c r="G8" s="24">
        <f t="shared" si="19"/>
        <v>0.04939884316</v>
      </c>
      <c r="H8" s="32">
        <v>1.43533851E8</v>
      </c>
      <c r="I8" s="24">
        <f t="shared" si="20"/>
        <v>-0.002032168981</v>
      </c>
      <c r="J8" s="23">
        <f t="shared" si="2"/>
        <v>0.01930582593</v>
      </c>
      <c r="K8" s="21">
        <v>3.824117E11</v>
      </c>
      <c r="L8" s="21">
        <v>4.764309E11</v>
      </c>
      <c r="M8" s="21">
        <f t="shared" si="3"/>
        <v>94019200000</v>
      </c>
      <c r="N8" s="24">
        <f t="shared" si="21"/>
        <v>0.09337110508</v>
      </c>
      <c r="O8" s="23">
        <f t="shared" si="4"/>
        <v>0.04325036479</v>
      </c>
      <c r="P8" s="31">
        <v>0.18751611499999998</v>
      </c>
      <c r="Q8" s="24">
        <f t="shared" si="22"/>
        <v>0.01342406672</v>
      </c>
      <c r="R8" s="21">
        <f t="shared" si="5"/>
        <v>407629281367</v>
      </c>
      <c r="S8" s="31">
        <v>0.16</v>
      </c>
      <c r="T8" s="21">
        <f t="shared" si="6"/>
        <v>65220685019</v>
      </c>
      <c r="U8" s="23">
        <f t="shared" si="7"/>
        <v>0.0300025784</v>
      </c>
      <c r="V8" s="31">
        <v>0.08434863999999999</v>
      </c>
      <c r="W8" s="21">
        <f t="shared" si="8"/>
        <v>15145.11026</v>
      </c>
      <c r="X8" s="25">
        <f t="shared" si="9"/>
        <v>13867.64081</v>
      </c>
      <c r="Y8" s="44">
        <f>AVERAGE(Y7,Y9)</f>
        <v>0.831</v>
      </c>
      <c r="Z8" s="31">
        <f t="shared" si="23"/>
        <v>0.001204819277</v>
      </c>
      <c r="AA8" s="41">
        <f>AVERAGE(AA7,AA9)</f>
        <v>0.345</v>
      </c>
      <c r="AB8" s="31">
        <f t="shared" si="24"/>
        <v>0.04347826087</v>
      </c>
      <c r="AC8" s="26">
        <f t="shared" si="10"/>
        <v>0.486</v>
      </c>
      <c r="AD8" s="27">
        <f t="shared" ref="AD8:AG8" si="28">AD9+($AH8-$AH9)/4</f>
        <v>0.173875</v>
      </c>
      <c r="AE8" s="27">
        <f t="shared" si="28"/>
        <v>0.063875</v>
      </c>
      <c r="AF8" s="27">
        <f t="shared" si="28"/>
        <v>0.193875</v>
      </c>
      <c r="AG8" s="27">
        <f t="shared" si="28"/>
        <v>0.033875</v>
      </c>
      <c r="AH8" s="23">
        <f t="shared" si="12"/>
        <v>0.4655</v>
      </c>
      <c r="AI8" s="39">
        <f t="shared" si="13"/>
        <v>0.4980536123</v>
      </c>
      <c r="AJ8" s="29">
        <f t="shared" si="14"/>
        <v>6739.673434</v>
      </c>
      <c r="AK8" s="30" t="str">
        <f t="shared" si="15"/>
        <v>D+</v>
      </c>
      <c r="AL8" s="30" t="str">
        <f t="shared" si="16"/>
        <v>0.5D+</v>
      </c>
    </row>
    <row r="9">
      <c r="A9" s="1">
        <v>2025.0</v>
      </c>
      <c r="B9" s="33">
        <v>1.13795678E14</v>
      </c>
      <c r="C9" s="24">
        <f t="shared" si="17"/>
        <v>0.01061880995</v>
      </c>
      <c r="D9" s="32">
        <v>8.23161307E9</v>
      </c>
      <c r="E9" s="24">
        <f t="shared" si="18"/>
        <v>0.008532312181</v>
      </c>
      <c r="F9" s="33">
        <v>2.076E12</v>
      </c>
      <c r="G9" s="24">
        <f t="shared" si="19"/>
        <v>-0.04500615502</v>
      </c>
      <c r="H9" s="32">
        <v>1.463E8</v>
      </c>
      <c r="I9" s="24">
        <f t="shared" si="20"/>
        <v>0.01927175353</v>
      </c>
      <c r="J9" s="23">
        <f t="shared" si="2"/>
        <v>0.01824322361</v>
      </c>
      <c r="K9" s="33">
        <f>903000000000/2</f>
        <v>451500000000</v>
      </c>
      <c r="L9" s="21">
        <f t="shared" ref="L9:L14" si="29">K9+M9</f>
        <v>537930000000</v>
      </c>
      <c r="M9" s="33">
        <v>8.643E10</v>
      </c>
      <c r="N9" s="24">
        <f t="shared" si="21"/>
        <v>-0.08071968279</v>
      </c>
      <c r="O9" s="23">
        <f t="shared" si="4"/>
        <v>0.04163294798</v>
      </c>
      <c r="P9" s="24">
        <f>R9/F9</f>
        <v>0.19</v>
      </c>
      <c r="Q9" s="24">
        <f t="shared" si="22"/>
        <v>0.0132462482</v>
      </c>
      <c r="R9" s="33">
        <v>3.9444E11</v>
      </c>
      <c r="S9" s="31">
        <v>0.19</v>
      </c>
      <c r="T9" s="21">
        <f t="shared" si="6"/>
        <v>74943600000</v>
      </c>
      <c r="U9" s="23">
        <f t="shared" si="7"/>
        <v>0.0361</v>
      </c>
      <c r="V9" s="31">
        <v>0.079</v>
      </c>
      <c r="W9" s="21">
        <f t="shared" si="8"/>
        <v>14190.02051</v>
      </c>
      <c r="X9" s="25">
        <f t="shared" si="9"/>
        <v>13069.00889</v>
      </c>
      <c r="Y9" s="43">
        <v>0.832</v>
      </c>
      <c r="Z9" s="31">
        <f t="shared" si="23"/>
        <v>0.001203369434</v>
      </c>
      <c r="AA9" s="41">
        <v>0.36</v>
      </c>
      <c r="AB9" s="31">
        <f t="shared" si="24"/>
        <v>0.04166666667</v>
      </c>
      <c r="AC9" s="26">
        <f t="shared" si="10"/>
        <v>0.472</v>
      </c>
      <c r="AD9" s="31">
        <v>0.18</v>
      </c>
      <c r="AE9" s="31">
        <v>0.07</v>
      </c>
      <c r="AF9" s="31">
        <v>0.2</v>
      </c>
      <c r="AG9" s="31">
        <v>0.04</v>
      </c>
      <c r="AH9" s="23">
        <f>SUM(AD9:AG9)</f>
        <v>0.49</v>
      </c>
      <c r="AI9" s="39">
        <f t="shared" si="13"/>
        <v>0.5137761716</v>
      </c>
      <c r="AJ9" s="29">
        <f t="shared" si="14"/>
        <v>6168.572194</v>
      </c>
      <c r="AK9" s="30" t="str">
        <f t="shared" si="15"/>
        <v>D+</v>
      </c>
      <c r="AL9" s="30" t="str">
        <f t="shared" si="16"/>
        <v>0.51D+</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2254442433275</v>
      </c>
      <c r="G10" s="24">
        <f t="shared" si="19"/>
        <v>0.08595492932</v>
      </c>
      <c r="H10" s="22">
        <f>AVERAGE(FORECAST(A10,H3:H9,$A$3:$A$9),H9*(AVERAGE(I4:I9)+1))</f>
        <v>145476021.2</v>
      </c>
      <c r="I10" s="24">
        <f t="shared" si="20"/>
        <v>-0.005632117438</v>
      </c>
      <c r="J10" s="35">
        <f t="shared" si="2"/>
        <v>0.01877703553</v>
      </c>
      <c r="K10" s="36">
        <f>FORECAST(A10,K3:K9,A3:A9)</f>
        <v>435553057143</v>
      </c>
      <c r="L10" s="36">
        <f t="shared" si="29"/>
        <v>543463300000</v>
      </c>
      <c r="M10" s="21">
        <f>FORECAST(A10,M3:M9,$A$3:$A$9)</f>
        <v>107910242857</v>
      </c>
      <c r="N10" s="24">
        <f t="shared" si="21"/>
        <v>0.2485276276</v>
      </c>
      <c r="O10" s="24">
        <f t="shared" si="4"/>
        <v>0.04786560139</v>
      </c>
      <c r="P10" s="24">
        <f>AVERAGE(FORECAST(A10,P3:P9,$A$3:$A$9),P9*(AVERAGE(Q4:Q9)+1))</f>
        <v>0.1909294672</v>
      </c>
      <c r="Q10" s="24">
        <f t="shared" si="22"/>
        <v>0.004891932669</v>
      </c>
      <c r="R10" s="21">
        <f t="shared" ref="R10:R14" si="31">P10*F10</f>
        <v>430439492634</v>
      </c>
      <c r="S10" s="24">
        <f>FORECAST(A10,S3:S9,$A$3:$A$9)</f>
        <v>0.185</v>
      </c>
      <c r="T10" s="21">
        <f t="shared" si="6"/>
        <v>79631306137</v>
      </c>
      <c r="U10" s="24">
        <f t="shared" si="7"/>
        <v>0.03532195143</v>
      </c>
      <c r="V10" s="24">
        <f>FORECAST(A10,V3:V9,$A$3:$A$9)</f>
        <v>0.1000763714</v>
      </c>
      <c r="W10" s="21">
        <f t="shared" si="8"/>
        <v>15497.00366</v>
      </c>
      <c r="X10" s="21">
        <f t="shared" si="9"/>
        <v>13946.11977</v>
      </c>
      <c r="Y10" s="37">
        <f>AVERAGE(FORECAST(A10,Y3:Y9,$A$3:$A$9),Y9*(AVERAGE(Z4:Z9)+1))</f>
        <v>0.8342267819</v>
      </c>
      <c r="Z10" s="31">
        <f t="shared" si="23"/>
        <v>0.002676420577</v>
      </c>
      <c r="AA10" s="38">
        <f>AVERAGE(FORECAST(A10,AA3:AA9,$A$3:$A$9),AA9*(AVERAGE(AB4:AB9)+1))</f>
        <v>0.3531618134</v>
      </c>
      <c r="AB10" s="31">
        <f t="shared" si="24"/>
        <v>-0.01936275751</v>
      </c>
      <c r="AC10" s="37">
        <f t="shared" si="10"/>
        <v>0.4810649685</v>
      </c>
      <c r="AD10" s="27">
        <f t="shared" ref="AD10:AG10" si="30">AD9+($AH10-$AH9)/4</f>
        <v>0.186125</v>
      </c>
      <c r="AE10" s="27">
        <f t="shared" si="30"/>
        <v>0.076125</v>
      </c>
      <c r="AF10" s="27">
        <f t="shared" si="30"/>
        <v>0.206125</v>
      </c>
      <c r="AG10" s="27">
        <f t="shared" si="30"/>
        <v>0.046125</v>
      </c>
      <c r="AH10" s="24">
        <f t="shared" ref="AH10:AH14" si="33">AH9*1.05</f>
        <v>0.5145</v>
      </c>
      <c r="AI10" s="38">
        <f t="shared" si="13"/>
        <v>0.5458206855</v>
      </c>
      <c r="AJ10" s="21">
        <f t="shared" si="14"/>
        <v>6708.989665</v>
      </c>
      <c r="AK10" s="30" t="str">
        <f t="shared" si="15"/>
        <v>D+</v>
      </c>
      <c r="AL10" s="30" t="str">
        <f t="shared" si="16"/>
        <v>0.55D+</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2382029021817</v>
      </c>
      <c r="G11" s="24">
        <f t="shared" si="19"/>
        <v>0.05659341159</v>
      </c>
      <c r="H11" s="22">
        <f>AVERAGE(FORECAST($A11,H3:H10,$A3:$A10),H10*(AVERAGE(I4:I10)+1))</f>
        <v>145205105.8</v>
      </c>
      <c r="I11" s="24">
        <f t="shared" si="20"/>
        <v>-0.001862268755</v>
      </c>
      <c r="J11" s="35">
        <f t="shared" si="2"/>
        <v>0.01894475489</v>
      </c>
      <c r="K11" s="36">
        <f>FORECAST(A11,K3:K10,A3:A10)</f>
        <v>451838014286</v>
      </c>
      <c r="L11" s="21">
        <f t="shared" si="29"/>
        <v>553371371429</v>
      </c>
      <c r="M11" s="21">
        <f>FORECAST(A11,M3:M10,$A3:$A10)</f>
        <v>101533357143</v>
      </c>
      <c r="N11" s="24">
        <f t="shared" si="21"/>
        <v>-0.0590943505</v>
      </c>
      <c r="O11" s="24">
        <f t="shared" si="4"/>
        <v>0.04262473556</v>
      </c>
      <c r="P11" s="24">
        <f>AVERAGE(FORECAST($A11,P3:P10,$A3:$A10),P10*(AVERAGE(Q4:Q10)+1))</f>
        <v>0.1910372645</v>
      </c>
      <c r="Q11" s="24">
        <f t="shared" si="22"/>
        <v>0.0005645921342</v>
      </c>
      <c r="R11" s="21">
        <f t="shared" si="31"/>
        <v>455056308246</v>
      </c>
      <c r="S11" s="24">
        <f>FORECAST($A11,S3:S10,$A3:$A10)</f>
        <v>0.2065178571</v>
      </c>
      <c r="T11" s="21">
        <f t="shared" si="6"/>
        <v>93977253658</v>
      </c>
      <c r="U11" s="24">
        <f t="shared" si="7"/>
        <v>0.0394526065</v>
      </c>
      <c r="V11" s="24">
        <f>FORECAST($A11,V3:V10,$A3:$A10)</f>
        <v>0.1070622693</v>
      </c>
      <c r="W11" s="21">
        <f t="shared" si="8"/>
        <v>16404.58171</v>
      </c>
      <c r="X11" s="21">
        <f t="shared" si="9"/>
        <v>14648.26996</v>
      </c>
      <c r="Y11" s="37">
        <f>AVERAGE(FORECAST($A11,Y3:Y10,$A3:$A10),Y10*(AVERAGE(Z4:Z10)+1))</f>
        <v>0.8365211732</v>
      </c>
      <c r="Z11" s="31">
        <f t="shared" si="23"/>
        <v>0.002750320807</v>
      </c>
      <c r="AA11" s="38">
        <f>AVERAGE(FORECAST($A11,AA3:AA10,$A3:$A10),AA10*(AVERAGE(AB4:AB10)+1))</f>
        <v>0.3510660622</v>
      </c>
      <c r="AB11" s="31">
        <f t="shared" si="24"/>
        <v>-0.005969677708</v>
      </c>
      <c r="AC11" s="37">
        <f t="shared" si="10"/>
        <v>0.485455111</v>
      </c>
      <c r="AD11" s="27">
        <f t="shared" ref="AD11:AG11" si="32">AD10+($AH11-$AH10)/4</f>
        <v>0.19255625</v>
      </c>
      <c r="AE11" s="27">
        <f t="shared" si="32"/>
        <v>0.08255625</v>
      </c>
      <c r="AF11" s="27">
        <f t="shared" si="32"/>
        <v>0.21255625</v>
      </c>
      <c r="AG11" s="27">
        <f t="shared" si="32"/>
        <v>0.05255625</v>
      </c>
      <c r="AH11" s="24">
        <f t="shared" si="33"/>
        <v>0.540225</v>
      </c>
      <c r="AI11" s="38">
        <f t="shared" si="13"/>
        <v>0.5623418839</v>
      </c>
      <c r="AJ11" s="21">
        <f t="shared" si="14"/>
        <v>7111.077521</v>
      </c>
      <c r="AK11" s="30" t="str">
        <f t="shared" si="15"/>
        <v>D+</v>
      </c>
      <c r="AL11" s="30" t="str">
        <f t="shared" si="16"/>
        <v>0.56D+</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2492513890856</v>
      </c>
      <c r="G12" s="24">
        <f t="shared" si="19"/>
        <v>0.04638267125</v>
      </c>
      <c r="H12" s="22">
        <f>AVERAGE(FORECAST($A12,H3:H11,$A3:$A11),H11*(AVERAGE(I4:I11)+1))</f>
        <v>145122425.7</v>
      </c>
      <c r="I12" s="24">
        <f t="shared" si="20"/>
        <v>-0.0005694020761</v>
      </c>
      <c r="J12" s="35">
        <f t="shared" si="2"/>
        <v>0.01899239918</v>
      </c>
      <c r="K12" s="36">
        <f>FORECAST(A12,K3:K11,A3:A11)</f>
        <v>468122971429</v>
      </c>
      <c r="L12" s="21">
        <f t="shared" si="29"/>
        <v>563279442857</v>
      </c>
      <c r="M12" s="21">
        <f>FORECAST(A12,M3:M11,$A3:$A11)</f>
        <v>95156471429</v>
      </c>
      <c r="N12" s="24">
        <f t="shared" si="21"/>
        <v>-0.06280581962</v>
      </c>
      <c r="O12" s="24">
        <f t="shared" si="4"/>
        <v>0.03817690717</v>
      </c>
      <c r="P12" s="24">
        <f>AVERAGE(FORECAST($A12,P3:P11,$A3:$A11),P11*(AVERAGE(Q4:Q11)+1))</f>
        <v>0.1908595657</v>
      </c>
      <c r="Q12" s="24">
        <f t="shared" si="22"/>
        <v>-0.0009301787853</v>
      </c>
      <c r="R12" s="21">
        <f t="shared" si="31"/>
        <v>475720118640</v>
      </c>
      <c r="S12" s="24">
        <f>FORECAST($A12,S3:S11,$A3:$A11)</f>
        <v>0.2280357143</v>
      </c>
      <c r="T12" s="21">
        <f t="shared" si="6"/>
        <v>108481177054</v>
      </c>
      <c r="U12" s="24">
        <f t="shared" si="7"/>
        <v>0.04352279739</v>
      </c>
      <c r="V12" s="24">
        <f>FORECAST($A12,V3:V11,$A3:$A11)</f>
        <v>0.1140481671</v>
      </c>
      <c r="W12" s="21">
        <f t="shared" si="8"/>
        <v>17175.24965</v>
      </c>
      <c r="X12" s="21">
        <f t="shared" si="9"/>
        <v>15216.44391</v>
      </c>
      <c r="Y12" s="37">
        <f>AVERAGE(FORECAST($A12,Y3:Y11,$A3:$A11),Y11*(AVERAGE(Z4:Z11)+1))</f>
        <v>0.8388395723</v>
      </c>
      <c r="Z12" s="31">
        <f t="shared" si="23"/>
        <v>0.002771476853</v>
      </c>
      <c r="AA12" s="37">
        <f>AVERAGE(FORECAST($A12,AA3:AA11,$A3:$A11),AA11*(AVERAGE(AB4:AB11)+1))</f>
        <v>0.3505871994</v>
      </c>
      <c r="AB12" s="31">
        <f t="shared" si="24"/>
        <v>-0.001365887889</v>
      </c>
      <c r="AC12" s="37">
        <f t="shared" si="10"/>
        <v>0.4882523729</v>
      </c>
      <c r="AD12" s="27">
        <f t="shared" ref="AD12:AG12" si="34">AD11+($AH12-$AH11)/4</f>
        <v>0.1993090625</v>
      </c>
      <c r="AE12" s="27">
        <f t="shared" si="34"/>
        <v>0.0893090625</v>
      </c>
      <c r="AF12" s="27">
        <f t="shared" si="34"/>
        <v>0.2193090625</v>
      </c>
      <c r="AG12" s="27">
        <f t="shared" si="34"/>
        <v>0.0593090625</v>
      </c>
      <c r="AH12" s="24">
        <f t="shared" si="33"/>
        <v>0.56723625</v>
      </c>
      <c r="AI12" s="38">
        <f t="shared" si="13"/>
        <v>0.580882759</v>
      </c>
      <c r="AJ12" s="21">
        <f t="shared" si="14"/>
        <v>7429.464844</v>
      </c>
      <c r="AK12" s="30" t="str">
        <f t="shared" si="15"/>
        <v>D+</v>
      </c>
      <c r="AL12" s="30" t="str">
        <f t="shared" si="16"/>
        <v>0.58D+</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2597394845102</v>
      </c>
      <c r="G13" s="24">
        <f t="shared" si="19"/>
        <v>0.04207838305</v>
      </c>
      <c r="H13" s="22">
        <f>AVERAGE(FORECAST($A13,H3:H12,$A3:$A12),H12*(AVERAGE(I4:I12)+1))</f>
        <v>145106665.3</v>
      </c>
      <c r="I13" s="24">
        <f t="shared" si="20"/>
        <v>-0.0001086008778</v>
      </c>
      <c r="J13" s="35">
        <f t="shared" si="2"/>
        <v>0.01899895936</v>
      </c>
      <c r="K13" s="36">
        <f>FORECAST(A13,K3:K12,A3:A12)</f>
        <v>484407928571</v>
      </c>
      <c r="L13" s="21">
        <f t="shared" si="29"/>
        <v>573187514286</v>
      </c>
      <c r="M13" s="21">
        <f>FORECAST(A13,M3:M12,$A3:$A12)</f>
        <v>88779585714</v>
      </c>
      <c r="N13" s="24">
        <f t="shared" si="21"/>
        <v>-0.06701473498</v>
      </c>
      <c r="O13" s="24">
        <f t="shared" si="4"/>
        <v>0.03418024252</v>
      </c>
      <c r="P13" s="24">
        <f>AVERAGE(FORECAST($A13,P3:P12,$A3:$A12),P12*(AVERAGE(Q4:Q12)+1))</f>
        <v>0.1905781063</v>
      </c>
      <c r="Q13" s="24">
        <f t="shared" si="22"/>
        <v>-0.001474693656</v>
      </c>
      <c r="R13" s="21">
        <f t="shared" si="31"/>
        <v>495006590844</v>
      </c>
      <c r="S13" s="24">
        <f>FORECAST($A13,S3:S12,$A3:$A12)</f>
        <v>0.2495535714</v>
      </c>
      <c r="T13" s="21">
        <f t="shared" si="6"/>
        <v>123530662626</v>
      </c>
      <c r="U13" s="24">
        <f t="shared" si="7"/>
        <v>0.04755944706</v>
      </c>
      <c r="V13" s="24">
        <f>FORECAST($A13,V3:V12,$A3:$A12)</f>
        <v>0.121034065</v>
      </c>
      <c r="W13" s="21">
        <f t="shared" si="8"/>
        <v>17899.90033</v>
      </c>
      <c r="X13" s="21">
        <f t="shared" si="9"/>
        <v>15733.40263</v>
      </c>
      <c r="Y13" s="37">
        <f>AVERAGE(FORECAST($A13,Y3:Y12,$A3:$A12),Y12*(AVERAGE(Z4:Z12)+1))</f>
        <v>0.8411674017</v>
      </c>
      <c r="Z13" s="31">
        <f t="shared" si="23"/>
        <v>0.002775059214</v>
      </c>
      <c r="AA13" s="37">
        <f>AVERAGE(FORECAST($A13,AA3:AA12,$A3:$A12),AA12*(AVERAGE(AB4:AB12)+1))</f>
        <v>0.3506823011</v>
      </c>
      <c r="AB13" s="31">
        <f t="shared" si="24"/>
        <v>0.0002711905601</v>
      </c>
      <c r="AC13" s="37">
        <f t="shared" si="10"/>
        <v>0.4904851006</v>
      </c>
      <c r="AD13" s="27">
        <f t="shared" ref="AD13:AG13" si="35">AD12+($AH13-$AH12)/4</f>
        <v>0.2063995156</v>
      </c>
      <c r="AE13" s="27">
        <f t="shared" si="35"/>
        <v>0.09639951563</v>
      </c>
      <c r="AF13" s="27">
        <f t="shared" si="35"/>
        <v>0.2263995156</v>
      </c>
      <c r="AG13" s="27">
        <f t="shared" si="35"/>
        <v>0.06639951563</v>
      </c>
      <c r="AH13" s="24">
        <f t="shared" si="33"/>
        <v>0.5955980625</v>
      </c>
      <c r="AI13" s="38">
        <f t="shared" si="13"/>
        <v>0.6012178173</v>
      </c>
      <c r="AJ13" s="21">
        <f t="shared" si="14"/>
        <v>7716.999572</v>
      </c>
      <c r="AK13" s="30" t="str">
        <f t="shared" si="15"/>
        <v>D+</v>
      </c>
      <c r="AL13" s="30" t="str">
        <f t="shared" si="16"/>
        <v>0.6D+</v>
      </c>
    </row>
    <row r="14">
      <c r="A14" s="34">
        <v>2030.0</v>
      </c>
      <c r="B14" s="21">
        <f>AVERAGE(FORECAST($A14,B5:B13,$A5:$A13),B13*(AVERAGE(C6:C13)+1))</f>
        <v>141834754671550</v>
      </c>
      <c r="C14" s="24"/>
      <c r="D14" s="22">
        <f>AVERAGE(FORECAST($A14,D5:D13,$A5:$A13),D13*(AVERAGE(E6:E13)+1))</f>
        <v>8586617399</v>
      </c>
      <c r="E14" s="24"/>
      <c r="F14" s="21">
        <f>AVERAGE(FORECAST($A14,F5:F13,$A5:$A13),F13*(AVERAGE(G6:G13)+1))</f>
        <v>2665215396908</v>
      </c>
      <c r="H14" s="22">
        <f>AVERAGE(FORECAST($A14,H5:H13,$A5:$A13),H13*(AVERAGE(I6:I13)+1))</f>
        <v>145363960.6</v>
      </c>
      <c r="J14" s="35">
        <f t="shared" si="2"/>
        <v>0.01879098958</v>
      </c>
      <c r="K14" s="36">
        <f>FORECAST(A14,K3:K13,A3:A13)</f>
        <v>500692885714</v>
      </c>
      <c r="L14" s="21">
        <f t="shared" si="29"/>
        <v>583095585714</v>
      </c>
      <c r="M14" s="21">
        <f>FORECAST(A14,M3:M13,$A3:$A13)</f>
        <v>82402700000</v>
      </c>
      <c r="N14" s="24">
        <f t="shared" si="21"/>
        <v>-0.07182828871</v>
      </c>
      <c r="O14" s="24">
        <f t="shared" si="4"/>
        <v>0.0309178388</v>
      </c>
      <c r="P14" s="24">
        <f>AVERAGE(FORECAST($A14,P3:P13,$A3:$A13),P13*(AVERAGE(Q4:Q13)+1))</f>
        <v>0.1902574226</v>
      </c>
      <c r="R14" s="21">
        <f t="shared" si="31"/>
        <v>507077012058</v>
      </c>
      <c r="S14" s="24">
        <f>FORECAST($A14,S3:S13,$A3:$A13)</f>
        <v>0.2710714286</v>
      </c>
      <c r="T14" s="21">
        <f t="shared" si="6"/>
        <v>137454090054</v>
      </c>
      <c r="U14" s="24">
        <f t="shared" si="7"/>
        <v>0.05157335134</v>
      </c>
      <c r="V14" s="24">
        <f>FORECAST($A14,V3:V13,$A3:$A13)</f>
        <v>0.1280199629</v>
      </c>
      <c r="W14" s="21">
        <f t="shared" si="8"/>
        <v>18334.77421</v>
      </c>
      <c r="X14" s="21">
        <f t="shared" si="9"/>
        <v>15987.5571</v>
      </c>
      <c r="Y14" s="37">
        <f>AVERAGE(FORECAST($A14,Y3:Y13,$A3:$A13),Y13*(AVERAGE(Z4:Z13)+1))</f>
        <v>0.8434995177</v>
      </c>
      <c r="AA14" s="37">
        <f>AVERAGE(FORECAST($A14,AA3:AA13,$A3:$A13),AA13*(AVERAGE(AB4:AB13)+1))</f>
        <v>0.3509881763</v>
      </c>
      <c r="AC14" s="37">
        <f t="shared" si="10"/>
        <v>0.4925113414</v>
      </c>
      <c r="AD14" s="27">
        <f t="shared" ref="AD14:AG14" si="36">AD13+($AH14-$AH13)/4</f>
        <v>0.2138444914</v>
      </c>
      <c r="AE14" s="27">
        <f t="shared" si="36"/>
        <v>0.1038444914</v>
      </c>
      <c r="AF14" s="27">
        <f t="shared" si="36"/>
        <v>0.2338444914</v>
      </c>
      <c r="AG14" s="27">
        <f t="shared" si="36"/>
        <v>0.07384449141</v>
      </c>
      <c r="AH14" s="24">
        <f t="shared" si="33"/>
        <v>0.6253779656</v>
      </c>
      <c r="AI14" s="38">
        <f t="shared" si="13"/>
        <v>0.6235134427</v>
      </c>
      <c r="AJ14" s="21">
        <f t="shared" si="14"/>
        <v>7874.053192</v>
      </c>
      <c r="AK14" s="30" t="str">
        <f t="shared" si="15"/>
        <v>D+</v>
      </c>
      <c r="AL14" s="30" t="str">
        <f t="shared" si="16"/>
        <v>0.62D+</v>
      </c>
    </row>
    <row r="17">
      <c r="C17" s="45"/>
      <c r="D17" s="45"/>
      <c r="E17" s="45"/>
      <c r="F17" s="45"/>
      <c r="G17" s="45"/>
      <c r="H17" s="45"/>
      <c r="I17" s="45"/>
      <c r="J17" s="45"/>
      <c r="K17" s="45"/>
      <c r="L17" s="45"/>
      <c r="M17" s="45"/>
    </row>
    <row r="18">
      <c r="C18" s="45"/>
      <c r="I18" s="46"/>
      <c r="J18" s="46"/>
      <c r="K18" s="46"/>
    </row>
    <row r="19">
      <c r="C19" s="45"/>
      <c r="I19" s="46"/>
      <c r="J19" s="46"/>
      <c r="K19" s="46"/>
    </row>
    <row r="20">
      <c r="C20" s="45"/>
      <c r="I20" s="46"/>
      <c r="J20" s="46"/>
      <c r="K20" s="46"/>
    </row>
    <row r="21">
      <c r="C21" s="45"/>
      <c r="I21" s="46"/>
      <c r="J21" s="46"/>
      <c r="K21" s="46"/>
    </row>
    <row r="22">
      <c r="C22" s="45"/>
      <c r="I22" s="46"/>
      <c r="J22" s="46"/>
      <c r="K22" s="46"/>
    </row>
    <row r="23">
      <c r="C23" s="45"/>
      <c r="I23" s="46"/>
      <c r="J23" s="46"/>
      <c r="K23" s="46"/>
    </row>
  </sheetData>
  <mergeCells count="1">
    <mergeCell ref="B1:AL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23.63"/>
    <col customWidth="1" min="15" max="15" width="18.38"/>
    <col customWidth="1" min="17" max="17" width="18.5"/>
    <col customWidth="1" min="18" max="18" width="16.75"/>
    <col customWidth="1" min="20" max="20" width="14.38"/>
    <col customWidth="1" min="21" max="21" width="20.5"/>
    <col customWidth="1" min="36" max="36" width="19.88"/>
    <col customWidth="1" min="37" max="37" width="16.88"/>
  </cols>
  <sheetData>
    <row r="1">
      <c r="A1" s="1" t="s">
        <v>88</v>
      </c>
      <c r="B1" s="18" t="s">
        <v>120</v>
      </c>
      <c r="AM1" s="18"/>
      <c r="AN1" s="18"/>
      <c r="AO1" s="18"/>
      <c r="AP1" s="18"/>
      <c r="AQ1" s="18"/>
      <c r="AR1" s="18"/>
    </row>
    <row r="2">
      <c r="A2" s="1" t="s">
        <v>90</v>
      </c>
      <c r="B2" s="1" t="s">
        <v>20</v>
      </c>
      <c r="C2" s="1" t="s">
        <v>91</v>
      </c>
      <c r="D2" s="1" t="s">
        <v>92</v>
      </c>
      <c r="E2" s="1" t="s">
        <v>93</v>
      </c>
      <c r="F2" s="1" t="s">
        <v>19</v>
      </c>
      <c r="G2" s="1" t="s">
        <v>94</v>
      </c>
      <c r="H2" s="1" t="s">
        <v>95</v>
      </c>
      <c r="I2" s="1" t="s">
        <v>96</v>
      </c>
      <c r="J2" s="19" t="s">
        <v>97</v>
      </c>
      <c r="K2" s="1" t="s">
        <v>98</v>
      </c>
      <c r="L2" s="1" t="s">
        <v>99</v>
      </c>
      <c r="M2" s="1" t="s">
        <v>100</v>
      </c>
      <c r="N2" s="1" t="s">
        <v>101</v>
      </c>
      <c r="O2" s="19" t="s">
        <v>102</v>
      </c>
      <c r="P2" s="1" t="s">
        <v>103</v>
      </c>
      <c r="Q2" s="1" t="s">
        <v>104</v>
      </c>
      <c r="R2" s="1" t="s">
        <v>105</v>
      </c>
      <c r="S2" s="1" t="s">
        <v>106</v>
      </c>
      <c r="T2" s="1" t="s">
        <v>107</v>
      </c>
      <c r="U2" s="19" t="s">
        <v>108</v>
      </c>
      <c r="V2" s="1" t="s">
        <v>25</v>
      </c>
      <c r="W2" s="1" t="s">
        <v>109</v>
      </c>
      <c r="X2" s="19" t="s">
        <v>5</v>
      </c>
      <c r="Y2" s="1" t="s">
        <v>29</v>
      </c>
      <c r="Z2" s="1" t="s">
        <v>110</v>
      </c>
      <c r="AA2" s="1" t="s">
        <v>30</v>
      </c>
      <c r="AB2" s="1" t="s">
        <v>111</v>
      </c>
      <c r="AC2" s="19" t="s">
        <v>9</v>
      </c>
      <c r="AD2" s="1" t="s">
        <v>112</v>
      </c>
      <c r="AE2" s="1" t="s">
        <v>113</v>
      </c>
      <c r="AF2" s="1" t="s">
        <v>114</v>
      </c>
      <c r="AG2" s="1" t="s">
        <v>115</v>
      </c>
      <c r="AH2" s="19" t="s">
        <v>116</v>
      </c>
      <c r="AI2" s="20" t="s">
        <v>117</v>
      </c>
      <c r="AJ2" s="20" t="s">
        <v>2</v>
      </c>
      <c r="AK2" s="1" t="s">
        <v>118</v>
      </c>
      <c r="AL2" s="1" t="s">
        <v>119</v>
      </c>
      <c r="AM2" s="1"/>
      <c r="AN2" s="1"/>
      <c r="AO2" s="1"/>
      <c r="AP2" s="1"/>
      <c r="AQ2" s="1"/>
      <c r="AR2" s="1"/>
    </row>
    <row r="3">
      <c r="A3" s="1">
        <v>2019.0</v>
      </c>
      <c r="B3" s="21">
        <f>87.7*1000000000000</f>
        <v>87700000000000</v>
      </c>
      <c r="C3" s="21"/>
      <c r="D3" s="22">
        <f>7.81*10^9</f>
        <v>7810000000</v>
      </c>
      <c r="E3" s="22"/>
      <c r="F3" s="21">
        <v>8.888901E11</v>
      </c>
      <c r="G3" s="21"/>
      <c r="H3" s="32">
        <v>3.0063799E7</v>
      </c>
      <c r="I3" s="22"/>
      <c r="J3" s="23">
        <f t="shared" ref="J3:J14" si="2">F3/B3</f>
        <v>0.01013557697</v>
      </c>
      <c r="K3" s="21">
        <v>2.189747E11</v>
      </c>
      <c r="L3" s="21">
        <v>2.8586E11</v>
      </c>
      <c r="M3" s="21">
        <f t="shared" ref="M3:M8" si="3">L3-K3</f>
        <v>66885300000</v>
      </c>
      <c r="N3" s="24"/>
      <c r="O3" s="23">
        <f t="shared" ref="O3:O14" si="4">M3/F3</f>
        <v>0.07524585998</v>
      </c>
      <c r="P3" s="31">
        <v>0.203</v>
      </c>
      <c r="Q3" s="24"/>
      <c r="R3" s="21">
        <f t="shared" ref="R3:R8" si="5">P3*F3</f>
        <v>180444690300</v>
      </c>
      <c r="S3" s="31">
        <v>0.0225</v>
      </c>
      <c r="T3" s="21">
        <f t="shared" ref="T3:T14" si="6">R3*S3</f>
        <v>4060005532</v>
      </c>
      <c r="U3" s="23">
        <f t="shared" ref="U3:U14" si="7">T3/F3</f>
        <v>0.0045675</v>
      </c>
      <c r="V3" s="31">
        <v>-0.01192986</v>
      </c>
      <c r="W3" s="21">
        <f t="shared" ref="W3:W14" si="8">F3/H3</f>
        <v>29566.79227</v>
      </c>
      <c r="X3" s="25">
        <f t="shared" ref="X3:X14" si="9">W3*(1-V3)</f>
        <v>29919.51997</v>
      </c>
      <c r="Y3" s="3">
        <v>0.86</v>
      </c>
      <c r="Z3" s="3"/>
      <c r="AA3" s="41">
        <v>0.456</v>
      </c>
      <c r="AB3" s="3"/>
      <c r="AC3" s="26">
        <f t="shared" ref="AC3:AC14" si="10">Y3-AA3</f>
        <v>0.404</v>
      </c>
      <c r="AD3" s="27">
        <f t="shared" ref="AD3:AG3" si="1">AD4+($AH3-$AH4)/4</f>
        <v>0.07430335113</v>
      </c>
      <c r="AE3" s="27">
        <f t="shared" si="1"/>
        <v>0.2133033511</v>
      </c>
      <c r="AF3" s="27">
        <f t="shared" si="1"/>
        <v>0.1773033511</v>
      </c>
      <c r="AG3" s="27">
        <f t="shared" si="1"/>
        <v>0.04230335113</v>
      </c>
      <c r="AH3" s="23">
        <f t="shared" ref="AH3:AH8" si="12">AH4*95%</f>
        <v>0.5072134045</v>
      </c>
      <c r="AI3" s="39">
        <f t="shared" ref="AI3:AI14" si="13">AH3+J3+O3-U3</f>
        <v>0.5880273415</v>
      </c>
      <c r="AJ3" s="29">
        <f t="shared" ref="AJ3:AJ14" si="14">X3*AC3</f>
        <v>12087.48607</v>
      </c>
      <c r="AK3" s="30" t="str">
        <f t="shared" ref="AK3:AK14" si="15">IFS(
AJ3&lt;=2500,"D-",
AJ3&lt;=5000,"D",
AJ3&lt;=10000,"D+",
AJ3&lt;=12500,"C-",
AJ3&lt;=15000,"C",
AJ3&lt;=20000,"C+",
AJ3&lt;=25000,"B-",
AJ3&lt;=30000,"B",
AJ3&lt;=35000,"B+",
AJ3&lt;=40000,"A-",
AJ3&lt;=50000,"A",
AJ3&lt;=100000,"A+",
TRUE,"Out of range"
)
</f>
        <v>C-</v>
      </c>
      <c r="AL3" s="30" t="str">
        <f t="shared" ref="AL3:AL14" si="16">CONCAT(ROUND(AI3,2),AK3)</f>
        <v>0.59C-</v>
      </c>
    </row>
    <row r="4">
      <c r="A4" s="1">
        <v>2020.0</v>
      </c>
      <c r="B4" s="21">
        <f>84.75*1000000000000</f>
        <v>84750000000000</v>
      </c>
      <c r="C4" s="24">
        <f t="shared" ref="C4:C13" si="17">(B4-B3)/B3</f>
        <v>-0.03363740023</v>
      </c>
      <c r="D4" s="22">
        <f>7.89*10^9</f>
        <v>7890000000</v>
      </c>
      <c r="E4" s="24">
        <f t="shared" ref="E4:E13" si="18">(D4-D3)/D3</f>
        <v>0.01024327785</v>
      </c>
      <c r="F4" s="21">
        <v>7.679512E11</v>
      </c>
      <c r="G4" s="24">
        <f t="shared" ref="G4:G13" si="19">(F4-F3)/F3</f>
        <v>-0.1360560771</v>
      </c>
      <c r="H4" s="32">
        <v>3.155251E7</v>
      </c>
      <c r="I4" s="24">
        <f t="shared" ref="I4:I13" si="20">(H4-H3)/H3</f>
        <v>0.04951839254</v>
      </c>
      <c r="J4" s="23">
        <f t="shared" si="2"/>
        <v>0.009061371091</v>
      </c>
      <c r="K4" s="21">
        <v>1.821837E11</v>
      </c>
      <c r="L4" s="21">
        <v>1.828477E11</v>
      </c>
      <c r="M4" s="21">
        <f t="shared" si="3"/>
        <v>664000000</v>
      </c>
      <c r="N4" s="24">
        <f t="shared" ref="N4:N14" si="21">(M4-M3)/M3</f>
        <v>-0.990072557</v>
      </c>
      <c r="O4" s="23">
        <f t="shared" si="4"/>
        <v>0.0008646382739</v>
      </c>
      <c r="P4" s="31">
        <v>0.296</v>
      </c>
      <c r="Q4" s="24">
        <f t="shared" ref="Q4:Q13" si="22">(P4-P3)/P3</f>
        <v>0.4581280788</v>
      </c>
      <c r="R4" s="21">
        <f t="shared" si="5"/>
        <v>227313555200</v>
      </c>
      <c r="S4" s="31">
        <v>0.01</v>
      </c>
      <c r="T4" s="21">
        <f t="shared" si="6"/>
        <v>2273135552</v>
      </c>
      <c r="U4" s="23">
        <f t="shared" si="7"/>
        <v>0.00296</v>
      </c>
      <c r="V4" s="31">
        <v>0.0337235</v>
      </c>
      <c r="W4" s="21">
        <f t="shared" si="8"/>
        <v>24338.83073</v>
      </c>
      <c r="X4" s="25">
        <f t="shared" si="9"/>
        <v>23518.04017</v>
      </c>
      <c r="Y4" s="3">
        <v>0.85</v>
      </c>
      <c r="Z4" s="31">
        <f t="shared" ref="Z4:Z13" si="23">(Y4-Y3)/Y3</f>
        <v>-0.01162790698</v>
      </c>
      <c r="AA4" s="41">
        <v>0.459</v>
      </c>
      <c r="AB4" s="31">
        <f t="shared" ref="AB4:AB13" si="24">(AA4-AA3)/AA4</f>
        <v>0.006535947712</v>
      </c>
      <c r="AC4" s="26">
        <f t="shared" si="10"/>
        <v>0.391</v>
      </c>
      <c r="AD4" s="27">
        <f t="shared" ref="AD4:AG4" si="11">AD5+($AH4-$AH5)/4</f>
        <v>0.08097721172</v>
      </c>
      <c r="AE4" s="27">
        <f t="shared" si="11"/>
        <v>0.2199772117</v>
      </c>
      <c r="AF4" s="27">
        <f t="shared" si="11"/>
        <v>0.1839772117</v>
      </c>
      <c r="AG4" s="27">
        <f t="shared" si="11"/>
        <v>0.04897721172</v>
      </c>
      <c r="AH4" s="23">
        <f t="shared" si="12"/>
        <v>0.5339088469</v>
      </c>
      <c r="AI4" s="39">
        <f t="shared" si="13"/>
        <v>0.5408748562</v>
      </c>
      <c r="AJ4" s="29">
        <f t="shared" si="14"/>
        <v>9195.553707</v>
      </c>
      <c r="AK4" s="30" t="str">
        <f t="shared" si="15"/>
        <v>D+</v>
      </c>
      <c r="AL4" s="30" t="str">
        <f t="shared" si="16"/>
        <v>0.54D+</v>
      </c>
    </row>
    <row r="5">
      <c r="A5" s="1">
        <v>2021.0</v>
      </c>
      <c r="B5" s="21">
        <f>96.14*1000000000000</f>
        <v>96140000000000</v>
      </c>
      <c r="C5" s="24">
        <f t="shared" si="17"/>
        <v>0.1343952802</v>
      </c>
      <c r="D5" s="22">
        <f>7.95*10^9</f>
        <v>7950000000</v>
      </c>
      <c r="E5" s="24">
        <f t="shared" si="18"/>
        <v>0.007604562738</v>
      </c>
      <c r="F5" s="21">
        <v>9.826611E11</v>
      </c>
      <c r="G5" s="24">
        <f t="shared" si="19"/>
        <v>0.2795879478</v>
      </c>
      <c r="H5" s="32">
        <v>3.0784383E7</v>
      </c>
      <c r="I5" s="24">
        <f t="shared" si="20"/>
        <v>-0.02434440239</v>
      </c>
      <c r="J5" s="23">
        <f t="shared" si="2"/>
        <v>0.01022114729</v>
      </c>
      <c r="K5" s="21">
        <v>2.135152E11</v>
      </c>
      <c r="L5" s="21">
        <v>2.865013E11</v>
      </c>
      <c r="M5" s="21">
        <f t="shared" si="3"/>
        <v>72986100000</v>
      </c>
      <c r="N5" s="24">
        <f t="shared" si="21"/>
        <v>108.9188253</v>
      </c>
      <c r="O5" s="23">
        <f t="shared" si="4"/>
        <v>0.07427392821</v>
      </c>
      <c r="P5" s="31">
        <v>0.255</v>
      </c>
      <c r="Q5" s="24">
        <f t="shared" si="22"/>
        <v>-0.1385135135</v>
      </c>
      <c r="R5" s="21">
        <f t="shared" si="5"/>
        <v>250578580500</v>
      </c>
      <c r="S5" s="31">
        <v>0.01</v>
      </c>
      <c r="T5" s="21">
        <f t="shared" si="6"/>
        <v>2505785805</v>
      </c>
      <c r="U5" s="23">
        <f t="shared" si="7"/>
        <v>0.00255</v>
      </c>
      <c r="V5" s="31">
        <v>0.030632899999999998</v>
      </c>
      <c r="W5" s="21">
        <f t="shared" si="8"/>
        <v>31920.76645</v>
      </c>
      <c r="X5" s="25">
        <f t="shared" si="9"/>
        <v>30942.9408</v>
      </c>
      <c r="Y5" s="3">
        <v>0.88</v>
      </c>
      <c r="Z5" s="31">
        <f t="shared" si="23"/>
        <v>0.03529411765</v>
      </c>
      <c r="AA5" s="41">
        <f>AVERAGE(AA4,AA6)</f>
        <v>0.4575</v>
      </c>
      <c r="AB5" s="31">
        <f t="shared" si="24"/>
        <v>-0.003278688525</v>
      </c>
      <c r="AC5" s="26">
        <f t="shared" si="10"/>
        <v>0.4225</v>
      </c>
      <c r="AD5" s="27">
        <f t="shared" ref="AD5:AG5" si="25">AD6+($AH5-$AH6)/4</f>
        <v>0.08800232813</v>
      </c>
      <c r="AE5" s="27">
        <f t="shared" si="25"/>
        <v>0.2270023281</v>
      </c>
      <c r="AF5" s="27">
        <f t="shared" si="25"/>
        <v>0.1910023281</v>
      </c>
      <c r="AG5" s="27">
        <f t="shared" si="25"/>
        <v>0.05600232813</v>
      </c>
      <c r="AH5" s="23">
        <f t="shared" si="12"/>
        <v>0.5620093125</v>
      </c>
      <c r="AI5" s="39">
        <f t="shared" si="13"/>
        <v>0.643954388</v>
      </c>
      <c r="AJ5" s="29">
        <f t="shared" si="14"/>
        <v>13073.39249</v>
      </c>
      <c r="AK5" s="30" t="str">
        <f t="shared" si="15"/>
        <v>C</v>
      </c>
      <c r="AL5" s="30" t="str">
        <f t="shared" si="16"/>
        <v>0.64C</v>
      </c>
    </row>
    <row r="6">
      <c r="A6" s="1">
        <v>2022.0</v>
      </c>
      <c r="B6" s="21">
        <f>101.56*1000000000000</f>
        <v>101560000000000</v>
      </c>
      <c r="C6" s="24">
        <f t="shared" si="17"/>
        <v>0.05637611816</v>
      </c>
      <c r="D6" s="22">
        <f>8.02*10^9</f>
        <v>8020000000</v>
      </c>
      <c r="E6" s="24">
        <f t="shared" si="18"/>
        <v>0.008805031447</v>
      </c>
      <c r="F6" s="21">
        <v>1.239075E12</v>
      </c>
      <c r="G6" s="24">
        <f t="shared" si="19"/>
        <v>0.2609382828</v>
      </c>
      <c r="H6" s="32">
        <v>3.2175224E7</v>
      </c>
      <c r="I6" s="24">
        <f t="shared" si="20"/>
        <v>0.04518008368</v>
      </c>
      <c r="J6" s="23">
        <f t="shared" si="2"/>
        <v>0.0122004234</v>
      </c>
      <c r="K6" s="21">
        <v>2.582128E11</v>
      </c>
      <c r="L6" s="21">
        <v>4.458813E11</v>
      </c>
      <c r="M6" s="21">
        <f t="shared" si="3"/>
        <v>187668500000</v>
      </c>
      <c r="N6" s="24">
        <f t="shared" si="21"/>
        <v>1.571290972</v>
      </c>
      <c r="O6" s="23">
        <f t="shared" si="4"/>
        <v>0.1514585477</v>
      </c>
      <c r="P6" s="31">
        <v>0.213</v>
      </c>
      <c r="Q6" s="24">
        <f t="shared" si="22"/>
        <v>-0.1647058824</v>
      </c>
      <c r="R6" s="21">
        <f t="shared" si="5"/>
        <v>263922975000</v>
      </c>
      <c r="S6" s="31">
        <v>0.05</v>
      </c>
      <c r="T6" s="21">
        <f t="shared" si="6"/>
        <v>13196148750</v>
      </c>
      <c r="U6" s="23">
        <f t="shared" si="7"/>
        <v>0.01065</v>
      </c>
      <c r="V6" s="31">
        <v>0.024740739999999997</v>
      </c>
      <c r="W6" s="21">
        <f t="shared" si="8"/>
        <v>38510.22141</v>
      </c>
      <c r="X6" s="25">
        <f t="shared" si="9"/>
        <v>37557.45003</v>
      </c>
      <c r="Y6" s="3">
        <v>0.88</v>
      </c>
      <c r="Z6" s="31">
        <f t="shared" si="23"/>
        <v>0</v>
      </c>
      <c r="AA6" s="41">
        <v>0.456</v>
      </c>
      <c r="AB6" s="31">
        <f t="shared" si="24"/>
        <v>-0.003289473684</v>
      </c>
      <c r="AC6" s="26">
        <f t="shared" si="10"/>
        <v>0.424</v>
      </c>
      <c r="AD6" s="27">
        <f t="shared" ref="AD6:AG6" si="26">AD7+($AH6-$AH7)/4</f>
        <v>0.0953971875</v>
      </c>
      <c r="AE6" s="27">
        <f t="shared" si="26"/>
        <v>0.2343971875</v>
      </c>
      <c r="AF6" s="27">
        <f t="shared" si="26"/>
        <v>0.1983971875</v>
      </c>
      <c r="AG6" s="27">
        <f t="shared" si="26"/>
        <v>0.0633971875</v>
      </c>
      <c r="AH6" s="23">
        <f t="shared" si="12"/>
        <v>0.59158875</v>
      </c>
      <c r="AI6" s="39">
        <f t="shared" si="13"/>
        <v>0.7445977211</v>
      </c>
      <c r="AJ6" s="29">
        <f t="shared" si="14"/>
        <v>15924.35881</v>
      </c>
      <c r="AK6" s="30" t="str">
        <f t="shared" si="15"/>
        <v>C+</v>
      </c>
      <c r="AL6" s="30" t="str">
        <f t="shared" si="16"/>
        <v>0.74C+</v>
      </c>
    </row>
    <row r="7">
      <c r="A7" s="1">
        <v>2023.0</v>
      </c>
      <c r="B7" s="21">
        <f>106.8*1000000000000</f>
        <v>106800000000000</v>
      </c>
      <c r="C7" s="24">
        <f t="shared" si="17"/>
        <v>0.05159511619</v>
      </c>
      <c r="D7" s="32">
        <f>8.09*10^9</f>
        <v>8090000000</v>
      </c>
      <c r="E7" s="24">
        <f t="shared" si="18"/>
        <v>0.008728179551</v>
      </c>
      <c r="F7" s="21">
        <v>1.218585E12</v>
      </c>
      <c r="G7" s="24">
        <f t="shared" si="19"/>
        <v>-0.01653652927</v>
      </c>
      <c r="H7" s="32">
        <v>3.3702731E7</v>
      </c>
      <c r="I7" s="24">
        <f t="shared" si="20"/>
        <v>0.04747463452</v>
      </c>
      <c r="J7" s="23">
        <f t="shared" si="2"/>
        <v>0.01140997191</v>
      </c>
      <c r="K7" s="21">
        <v>2.915645E11</v>
      </c>
      <c r="L7" s="21">
        <v>3.685307E11</v>
      </c>
      <c r="M7" s="21">
        <f t="shared" si="3"/>
        <v>76966200000</v>
      </c>
      <c r="N7" s="24">
        <f t="shared" si="21"/>
        <v>-0.5898821592</v>
      </c>
      <c r="O7" s="23">
        <f t="shared" si="4"/>
        <v>0.06316030478</v>
      </c>
      <c r="P7" s="31">
        <v>0.23</v>
      </c>
      <c r="Q7" s="24">
        <f t="shared" si="22"/>
        <v>0.07981220657</v>
      </c>
      <c r="R7" s="21">
        <f t="shared" si="5"/>
        <v>280274550000</v>
      </c>
      <c r="S7" s="31">
        <v>0.06</v>
      </c>
      <c r="T7" s="21">
        <f t="shared" si="6"/>
        <v>16816473000</v>
      </c>
      <c r="U7" s="23">
        <f t="shared" si="7"/>
        <v>0.0138</v>
      </c>
      <c r="V7" s="31">
        <v>0.02327085</v>
      </c>
      <c r="W7" s="21">
        <f t="shared" si="8"/>
        <v>36156.86218</v>
      </c>
      <c r="X7" s="25">
        <f t="shared" si="9"/>
        <v>35315.46127</v>
      </c>
      <c r="Y7" s="43">
        <v>0.9</v>
      </c>
      <c r="Z7" s="31">
        <f t="shared" si="23"/>
        <v>0.02272727273</v>
      </c>
      <c r="AA7" s="41">
        <v>0.459</v>
      </c>
      <c r="AB7" s="31">
        <f t="shared" si="24"/>
        <v>0.006535947712</v>
      </c>
      <c r="AC7" s="26">
        <f t="shared" si="10"/>
        <v>0.441</v>
      </c>
      <c r="AD7" s="27">
        <f t="shared" ref="AD7:AG7" si="27">AD8+($AH7-$AH8)/4</f>
        <v>0.10318125</v>
      </c>
      <c r="AE7" s="27">
        <f t="shared" si="27"/>
        <v>0.24218125</v>
      </c>
      <c r="AF7" s="27">
        <f t="shared" si="27"/>
        <v>0.20618125</v>
      </c>
      <c r="AG7" s="27">
        <f t="shared" si="27"/>
        <v>0.07118125</v>
      </c>
      <c r="AH7" s="23">
        <f t="shared" si="12"/>
        <v>0.622725</v>
      </c>
      <c r="AI7" s="39">
        <f t="shared" si="13"/>
        <v>0.6834952767</v>
      </c>
      <c r="AJ7" s="29">
        <f t="shared" si="14"/>
        <v>15574.11842</v>
      </c>
      <c r="AK7" s="30" t="str">
        <f t="shared" si="15"/>
        <v>C+</v>
      </c>
      <c r="AL7" s="30" t="str">
        <f t="shared" si="16"/>
        <v>0.68C+</v>
      </c>
    </row>
    <row r="8">
      <c r="A8" s="1">
        <v>2024.0</v>
      </c>
      <c r="B8" s="21">
        <f>112.6*1000000000000</f>
        <v>112600000000000</v>
      </c>
      <c r="C8" s="24">
        <f t="shared" si="17"/>
        <v>0.0543071161</v>
      </c>
      <c r="D8" s="32">
        <v>8.161972572E9</v>
      </c>
      <c r="E8" s="24">
        <f t="shared" si="18"/>
        <v>0.008896486032</v>
      </c>
      <c r="F8" s="21">
        <v>1.239805E12</v>
      </c>
      <c r="G8" s="24">
        <f t="shared" si="19"/>
        <v>0.01741363959</v>
      </c>
      <c r="H8" s="32">
        <v>3.530028E7</v>
      </c>
      <c r="I8" s="24">
        <f t="shared" si="20"/>
        <v>0.04740117351</v>
      </c>
      <c r="J8" s="23">
        <f t="shared" si="2"/>
        <v>0.0110107016</v>
      </c>
      <c r="K8" s="21">
        <v>3.170117E11</v>
      </c>
      <c r="L8" s="21">
        <v>3.608973E11</v>
      </c>
      <c r="M8" s="21">
        <f t="shared" si="3"/>
        <v>43885600000</v>
      </c>
      <c r="N8" s="24">
        <f t="shared" si="21"/>
        <v>-0.4298068503</v>
      </c>
      <c r="O8" s="23">
        <f t="shared" si="4"/>
        <v>0.0353971794</v>
      </c>
      <c r="P8" s="31">
        <v>0.262</v>
      </c>
      <c r="Q8" s="24">
        <f t="shared" si="22"/>
        <v>0.1391304348</v>
      </c>
      <c r="R8" s="21">
        <f t="shared" si="5"/>
        <v>324828910000</v>
      </c>
      <c r="S8" s="31">
        <v>0.05</v>
      </c>
      <c r="T8" s="21">
        <f t="shared" si="6"/>
        <v>16241445500</v>
      </c>
      <c r="U8" s="23">
        <f t="shared" si="7"/>
        <v>0.0131</v>
      </c>
      <c r="V8" s="31">
        <v>0.01687921</v>
      </c>
      <c r="W8" s="21">
        <f t="shared" si="8"/>
        <v>35121.67609</v>
      </c>
      <c r="X8" s="25">
        <f t="shared" si="9"/>
        <v>34528.84994</v>
      </c>
      <c r="Y8" s="43">
        <v>0.9</v>
      </c>
      <c r="Z8" s="31">
        <f t="shared" si="23"/>
        <v>0</v>
      </c>
      <c r="AA8" s="41">
        <v>0.456</v>
      </c>
      <c r="AB8" s="31">
        <f t="shared" si="24"/>
        <v>-0.006578947368</v>
      </c>
      <c r="AC8" s="26">
        <f t="shared" si="10"/>
        <v>0.444</v>
      </c>
      <c r="AD8" s="27">
        <f t="shared" ref="AD8:AG8" si="28">AD9+($AH8-$AH9)/4</f>
        <v>0.111375</v>
      </c>
      <c r="AE8" s="27">
        <f t="shared" si="28"/>
        <v>0.250375</v>
      </c>
      <c r="AF8" s="27">
        <f t="shared" si="28"/>
        <v>0.214375</v>
      </c>
      <c r="AG8" s="27">
        <f t="shared" si="28"/>
        <v>0.079375</v>
      </c>
      <c r="AH8" s="23">
        <f t="shared" si="12"/>
        <v>0.6555</v>
      </c>
      <c r="AI8" s="39">
        <f t="shared" si="13"/>
        <v>0.688807881</v>
      </c>
      <c r="AJ8" s="29">
        <f t="shared" si="14"/>
        <v>15330.80937</v>
      </c>
      <c r="AK8" s="30" t="str">
        <f t="shared" si="15"/>
        <v>C+</v>
      </c>
      <c r="AL8" s="30" t="str">
        <f t="shared" si="16"/>
        <v>0.69C+</v>
      </c>
    </row>
    <row r="9">
      <c r="A9" s="1">
        <v>2025.0</v>
      </c>
      <c r="B9" s="33">
        <v>1.13795678E14</v>
      </c>
      <c r="C9" s="24">
        <f t="shared" si="17"/>
        <v>0.01061880995</v>
      </c>
      <c r="D9" s="32">
        <v>8.23161307E9</v>
      </c>
      <c r="E9" s="24">
        <f t="shared" si="18"/>
        <v>0.008532312181</v>
      </c>
      <c r="F9" s="33">
        <v>1.084E12</v>
      </c>
      <c r="G9" s="24">
        <f t="shared" si="19"/>
        <v>-0.125668956</v>
      </c>
      <c r="H9" s="32">
        <v>3.22E7</v>
      </c>
      <c r="I9" s="24">
        <f t="shared" si="20"/>
        <v>-0.08782593226</v>
      </c>
      <c r="J9" s="23">
        <f t="shared" si="2"/>
        <v>0.009525845085</v>
      </c>
      <c r="K9" s="33">
        <f>663000000000/2</f>
        <v>331500000000</v>
      </c>
      <c r="L9" s="21">
        <f t="shared" ref="L9:L14" si="29">K9+M9</f>
        <v>410500000000</v>
      </c>
      <c r="M9" s="33">
        <v>7.9E10</v>
      </c>
      <c r="N9" s="24">
        <f t="shared" si="21"/>
        <v>0.8001348962</v>
      </c>
      <c r="O9" s="23">
        <f t="shared" si="4"/>
        <v>0.07287822878</v>
      </c>
      <c r="P9" s="24">
        <f>R9/F9</f>
        <v>0.299</v>
      </c>
      <c r="Q9" s="24">
        <f t="shared" si="22"/>
        <v>0.141221374</v>
      </c>
      <c r="R9" s="33">
        <v>3.24116E11</v>
      </c>
      <c r="S9" s="31">
        <v>0.045</v>
      </c>
      <c r="T9" s="21">
        <f t="shared" si="6"/>
        <v>14585220000</v>
      </c>
      <c r="U9" s="23">
        <f t="shared" si="7"/>
        <v>0.013455</v>
      </c>
      <c r="V9" s="31">
        <v>0.019</v>
      </c>
      <c r="W9" s="21">
        <f t="shared" si="8"/>
        <v>33664.59627</v>
      </c>
      <c r="X9" s="25">
        <f t="shared" si="9"/>
        <v>33024.96894</v>
      </c>
      <c r="Y9" s="43">
        <v>0.9</v>
      </c>
      <c r="Z9" s="31">
        <f t="shared" si="23"/>
        <v>0</v>
      </c>
      <c r="AA9" s="41">
        <v>0.459</v>
      </c>
      <c r="AB9" s="31">
        <f t="shared" si="24"/>
        <v>0.006535947712</v>
      </c>
      <c r="AC9" s="26">
        <f t="shared" si="10"/>
        <v>0.441</v>
      </c>
      <c r="AD9" s="31">
        <v>0.12</v>
      </c>
      <c r="AE9" s="31">
        <v>0.259</v>
      </c>
      <c r="AF9" s="31">
        <v>0.223</v>
      </c>
      <c r="AG9" s="31">
        <v>0.088</v>
      </c>
      <c r="AH9" s="23">
        <f>SUM(AD9:AG9)</f>
        <v>0.69</v>
      </c>
      <c r="AI9" s="39">
        <f t="shared" si="13"/>
        <v>0.7589490739</v>
      </c>
      <c r="AJ9" s="29">
        <f t="shared" si="14"/>
        <v>14564.0113</v>
      </c>
      <c r="AK9" s="30" t="str">
        <f t="shared" si="15"/>
        <v>C</v>
      </c>
      <c r="AL9" s="30" t="str">
        <f t="shared" si="16"/>
        <v>0.76C</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1223402030944</v>
      </c>
      <c r="G10" s="24">
        <f t="shared" si="19"/>
        <v>0.1285996595</v>
      </c>
      <c r="H10" s="22">
        <f>AVERAGE(FORECAST(A10,H3:H9,$A$3:$A$9),H9*(AVERAGE(I4:I9)+1))</f>
        <v>33636373.31</v>
      </c>
      <c r="I10" s="24">
        <f t="shared" si="20"/>
        <v>0.04460786684</v>
      </c>
      <c r="J10" s="35">
        <f t="shared" si="2"/>
        <v>0.01018959857</v>
      </c>
      <c r="K10" s="36">
        <f>FORECAST(A10,K3:K9,A3:A9)</f>
        <v>356891971429</v>
      </c>
      <c r="L10" s="36">
        <f t="shared" si="29"/>
        <v>450438128571</v>
      </c>
      <c r="M10" s="21">
        <f>FORECAST(A10,M3:M9,$A$3:$A$9)</f>
        <v>93546157143</v>
      </c>
      <c r="N10" s="24">
        <f t="shared" si="21"/>
        <v>0.1841285714</v>
      </c>
      <c r="O10" s="24">
        <f t="shared" si="4"/>
        <v>0.07646395443</v>
      </c>
      <c r="P10" s="24">
        <f>AVERAGE(FORECAST(A10,P3:P9,$A$3:$A$9),P9*(AVERAGE(Q4:Q9)+1))</f>
        <v>0.3018338947</v>
      </c>
      <c r="Q10" s="24">
        <f t="shared" si="22"/>
        <v>0.009477908809</v>
      </c>
      <c r="R10" s="21">
        <f t="shared" ref="R10:R14" si="31">P10*F10</f>
        <v>369264199825</v>
      </c>
      <c r="S10" s="24">
        <f>FORECAST(A10,S3:S9,$A$3:$A$9)</f>
        <v>0.06357142857</v>
      </c>
      <c r="T10" s="21">
        <f t="shared" si="6"/>
        <v>23474652703</v>
      </c>
      <c r="U10" s="24">
        <f t="shared" si="7"/>
        <v>0.01918801188</v>
      </c>
      <c r="V10" s="24">
        <f>FORECAST(A10,V3:V9,$A$3:$A$9)</f>
        <v>0.02686518429</v>
      </c>
      <c r="W10" s="21">
        <f t="shared" si="8"/>
        <v>36371.40127</v>
      </c>
      <c r="X10" s="21">
        <f t="shared" si="9"/>
        <v>35394.27687</v>
      </c>
      <c r="Y10" s="37">
        <f>AVERAGE(FORECAST(A10,Y3:Y9,$A$3:$A$9),Y9*(AVERAGE(Z4:Z9)+1))</f>
        <v>0.9113366541</v>
      </c>
      <c r="Z10" s="31">
        <f t="shared" si="23"/>
        <v>0.01259628235</v>
      </c>
      <c r="AA10" s="38">
        <f>AVERAGE(FORECAST(A10,AA3:AA9,$A$3:$A$9),AA9*(AVERAGE(AB4:AB9)+1))</f>
        <v>0.4588185516</v>
      </c>
      <c r="AB10" s="31">
        <f t="shared" si="24"/>
        <v>-0.0003954686864</v>
      </c>
      <c r="AC10" s="37">
        <f t="shared" si="10"/>
        <v>0.4525181025</v>
      </c>
      <c r="AD10" s="27">
        <f t="shared" ref="AD10:AG10" si="30">AD9+($AH10-$AH9)/4</f>
        <v>0.128625</v>
      </c>
      <c r="AE10" s="27">
        <f t="shared" si="30"/>
        <v>0.267625</v>
      </c>
      <c r="AF10" s="27">
        <f t="shared" si="30"/>
        <v>0.231625</v>
      </c>
      <c r="AG10" s="27">
        <f t="shared" si="30"/>
        <v>0.096625</v>
      </c>
      <c r="AH10" s="24">
        <f t="shared" ref="AH10:AH14" si="33">AH9*1.05</f>
        <v>0.7245</v>
      </c>
      <c r="AI10" s="38">
        <f t="shared" si="13"/>
        <v>0.7919655411</v>
      </c>
      <c r="AJ10" s="21">
        <f t="shared" si="14"/>
        <v>16016.55101</v>
      </c>
      <c r="AK10" s="30" t="str">
        <f t="shared" si="15"/>
        <v>C+</v>
      </c>
      <c r="AL10" s="30" t="str">
        <f t="shared" si="16"/>
        <v>0.79C+</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1312815287093</v>
      </c>
      <c r="G11" s="24">
        <f t="shared" si="19"/>
        <v>0.07308575095</v>
      </c>
      <c r="H11" s="22">
        <f>AVERAGE(FORECAST($A11,H3:H10,$A3:$A10),H10*(AVERAGE(I4:I10)+1))</f>
        <v>34485163.32</v>
      </c>
      <c r="I11" s="24">
        <f t="shared" si="20"/>
        <v>0.02523429038</v>
      </c>
      <c r="J11" s="35">
        <f t="shared" si="2"/>
        <v>0.01044108346</v>
      </c>
      <c r="K11" s="36">
        <f>FORECAST(A11,K3:K10,A3:A10)</f>
        <v>381366300000</v>
      </c>
      <c r="L11" s="21">
        <f t="shared" si="29"/>
        <v>479439864286</v>
      </c>
      <c r="M11" s="21">
        <f>FORECAST(A11,M3:M10,$A3:$A10)</f>
        <v>98073564286</v>
      </c>
      <c r="N11" s="24">
        <f t="shared" si="21"/>
        <v>0.04839757486</v>
      </c>
      <c r="O11" s="24">
        <f t="shared" si="4"/>
        <v>0.07470477016</v>
      </c>
      <c r="P11" s="24">
        <f>AVERAGE(FORECAST($A11,P3:P10,$A3:$A10),P10*(AVERAGE(Q4:Q10)+1))</f>
        <v>0.3109166462</v>
      </c>
      <c r="Q11" s="24">
        <f t="shared" si="22"/>
        <v>0.0300918872</v>
      </c>
      <c r="R11" s="21">
        <f t="shared" si="31"/>
        <v>408176126204</v>
      </c>
      <c r="S11" s="24">
        <f>FORECAST($A11,S3:S10,$A3:$A10)</f>
        <v>0.070625</v>
      </c>
      <c r="T11" s="21">
        <f t="shared" si="6"/>
        <v>28827438913</v>
      </c>
      <c r="U11" s="24">
        <f t="shared" si="7"/>
        <v>0.02195848814</v>
      </c>
      <c r="V11" s="24">
        <f>FORECAST($A11,V3:V10,$A3:$A10)</f>
        <v>0.02871300393</v>
      </c>
      <c r="W11" s="21">
        <f t="shared" si="8"/>
        <v>38068.98853</v>
      </c>
      <c r="X11" s="21">
        <f t="shared" si="9"/>
        <v>36975.91351</v>
      </c>
      <c r="Y11" s="37">
        <f>AVERAGE(FORECAST($A11,Y3:Y10,$A3:$A10),Y10*(AVERAGE(Z4:Z10)+1))</f>
        <v>0.9205567431</v>
      </c>
      <c r="Z11" s="31">
        <f t="shared" si="23"/>
        <v>0.01011710544</v>
      </c>
      <c r="AA11" s="38">
        <f>AVERAGE(FORECAST($A11,AA3:AA10,$A3:$A10),AA10*(AVERAGE(AB4:AB10)+1))</f>
        <v>0.4589287606</v>
      </c>
      <c r="AB11" s="31">
        <f t="shared" si="24"/>
        <v>0.0002401439227</v>
      </c>
      <c r="AC11" s="37">
        <f t="shared" si="10"/>
        <v>0.4616279826</v>
      </c>
      <c r="AD11" s="27">
        <f t="shared" ref="AD11:AG11" si="32">AD10+($AH11-$AH10)/4</f>
        <v>0.13768125</v>
      </c>
      <c r="AE11" s="27">
        <f t="shared" si="32"/>
        <v>0.27668125</v>
      </c>
      <c r="AF11" s="27">
        <f t="shared" si="32"/>
        <v>0.24068125</v>
      </c>
      <c r="AG11" s="27">
        <f t="shared" si="32"/>
        <v>0.10568125</v>
      </c>
      <c r="AH11" s="24">
        <f t="shared" si="33"/>
        <v>0.760725</v>
      </c>
      <c r="AI11" s="38">
        <f t="shared" si="13"/>
        <v>0.8239123655</v>
      </c>
      <c r="AJ11" s="21">
        <f t="shared" si="14"/>
        <v>17069.11636</v>
      </c>
      <c r="AK11" s="30" t="str">
        <f t="shared" si="15"/>
        <v>C+</v>
      </c>
      <c r="AL11" s="30" t="str">
        <f t="shared" si="16"/>
        <v>0.82C+</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1385141802042</v>
      </c>
      <c r="G12" s="24">
        <f t="shared" si="19"/>
        <v>0.05509268186</v>
      </c>
      <c r="H12" s="22">
        <f>AVERAGE(FORECAST($A12,H3:H11,$A3:$A11),H11*(AVERAGE(I4:I11)+1))</f>
        <v>35133303.79</v>
      </c>
      <c r="I12" s="24">
        <f t="shared" si="20"/>
        <v>0.01879476292</v>
      </c>
      <c r="J12" s="35">
        <f t="shared" si="2"/>
        <v>0.01055447118</v>
      </c>
      <c r="K12" s="36">
        <f>FORECAST(A12,K3:K11,A3:A11)</f>
        <v>405840628571</v>
      </c>
      <c r="L12" s="21">
        <f t="shared" si="29"/>
        <v>508441600000</v>
      </c>
      <c r="M12" s="21">
        <f>FORECAST(A12,M3:M11,$A3:$A11)</f>
        <v>102600971429</v>
      </c>
      <c r="N12" s="24">
        <f t="shared" si="21"/>
        <v>0.04616337925</v>
      </c>
      <c r="O12" s="24">
        <f t="shared" si="4"/>
        <v>0.07407253992</v>
      </c>
      <c r="P12" s="24">
        <f>AVERAGE(FORECAST($A12,P3:P11,$A3:$A11),P11*(AVERAGE(Q4:Q11)+1))</f>
        <v>0.3223683384</v>
      </c>
      <c r="Q12" s="24">
        <f t="shared" si="22"/>
        <v>0.03683203295</v>
      </c>
      <c r="R12" s="21">
        <f t="shared" si="31"/>
        <v>446525861183</v>
      </c>
      <c r="S12" s="24">
        <f>FORECAST($A12,S3:S11,$A3:$A11)</f>
        <v>0.07767857143</v>
      </c>
      <c r="T12" s="21">
        <f t="shared" si="6"/>
        <v>34685491003</v>
      </c>
      <c r="U12" s="24">
        <f t="shared" si="7"/>
        <v>0.025041112</v>
      </c>
      <c r="V12" s="24">
        <f>FORECAST($A12,V3:V11,$A3:$A11)</f>
        <v>0.03056082357</v>
      </c>
      <c r="W12" s="21">
        <f t="shared" si="8"/>
        <v>39425.32163</v>
      </c>
      <c r="X12" s="21">
        <f t="shared" si="9"/>
        <v>38220.45133</v>
      </c>
      <c r="Y12" s="37">
        <f>AVERAGE(FORECAST($A12,Y3:Y11,$A3:$A11),Y11*(AVERAGE(Z4:Z11)+1))</f>
        <v>0.9290639268</v>
      </c>
      <c r="Z12" s="31">
        <f t="shared" si="23"/>
        <v>0.009241346315</v>
      </c>
      <c r="AA12" s="37">
        <f>AVERAGE(FORECAST($A12,AA3:AA11,$A3:$A11),AA11*(AVERAGE(AB4:AB11)+1))</f>
        <v>0.4591383128</v>
      </c>
      <c r="AB12" s="31">
        <f t="shared" si="24"/>
        <v>0.0004564032598</v>
      </c>
      <c r="AC12" s="37">
        <f t="shared" si="10"/>
        <v>0.469925614</v>
      </c>
      <c r="AD12" s="27">
        <f t="shared" ref="AD12:AG12" si="34">AD11+($AH12-$AH11)/4</f>
        <v>0.1471903125</v>
      </c>
      <c r="AE12" s="27">
        <f t="shared" si="34"/>
        <v>0.2861903125</v>
      </c>
      <c r="AF12" s="27">
        <f t="shared" si="34"/>
        <v>0.2501903125</v>
      </c>
      <c r="AG12" s="27">
        <f t="shared" si="34"/>
        <v>0.1151903125</v>
      </c>
      <c r="AH12" s="24">
        <f t="shared" si="33"/>
        <v>0.79876125</v>
      </c>
      <c r="AI12" s="38">
        <f t="shared" si="13"/>
        <v>0.8583471491</v>
      </c>
      <c r="AJ12" s="21">
        <f t="shared" si="14"/>
        <v>17960.76906</v>
      </c>
      <c r="AK12" s="30" t="str">
        <f t="shared" si="15"/>
        <v>C+</v>
      </c>
      <c r="AL12" s="30" t="str">
        <f t="shared" si="16"/>
        <v>0.86C+</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1451635685892</v>
      </c>
      <c r="G13" s="24">
        <f t="shared" si="19"/>
        <v>0.04800510948</v>
      </c>
      <c r="H13" s="22">
        <f>AVERAGE(FORECAST($A13,H3:H12,$A3:$A12),H12*(AVERAGE(I4:I12)+1))</f>
        <v>35710526.26</v>
      </c>
      <c r="I13" s="24">
        <f t="shared" si="20"/>
        <v>0.01642949572</v>
      </c>
      <c r="J13" s="35">
        <f t="shared" si="2"/>
        <v>0.01061816514</v>
      </c>
      <c r="K13" s="36">
        <f>FORECAST(A13,K3:K12,A3:A12)</f>
        <v>430314957143</v>
      </c>
      <c r="L13" s="21">
        <f t="shared" si="29"/>
        <v>537443335714</v>
      </c>
      <c r="M13" s="21">
        <f>FORECAST(A13,M3:M12,$A3:$A12)</f>
        <v>107128378571</v>
      </c>
      <c r="N13" s="24">
        <f t="shared" si="21"/>
        <v>0.04412635748</v>
      </c>
      <c r="O13" s="24">
        <f t="shared" si="4"/>
        <v>0.07379839144</v>
      </c>
      <c r="P13" s="24">
        <f>AVERAGE(FORECAST($A13,P3:P12,$A3:$A12),P12*(AVERAGE(Q4:Q12)+1))</f>
        <v>0.3348147228</v>
      </c>
      <c r="Q13" s="24">
        <f t="shared" si="22"/>
        <v>0.03860920234</v>
      </c>
      <c r="R13" s="21">
        <f t="shared" si="31"/>
        <v>486028999795</v>
      </c>
      <c r="S13" s="24">
        <f>FORECAST($A13,S3:S12,$A3:$A12)</f>
        <v>0.08473214286</v>
      </c>
      <c r="T13" s="21">
        <f t="shared" si="6"/>
        <v>41182278643</v>
      </c>
      <c r="U13" s="24">
        <f t="shared" si="7"/>
        <v>0.02836956892</v>
      </c>
      <c r="V13" s="24">
        <f>FORECAST($A13,V3:V12,$A3:$A12)</f>
        <v>0.03240864321</v>
      </c>
      <c r="W13" s="21">
        <f t="shared" si="8"/>
        <v>40650.07823</v>
      </c>
      <c r="X13" s="21">
        <f t="shared" si="9"/>
        <v>39332.66435</v>
      </c>
      <c r="Y13" s="37">
        <f>AVERAGE(FORECAST($A13,Y3:Y12,$A3:$A12),Y12*(AVERAGE(Z4:Z12)+1))</f>
        <v>0.9373263433</v>
      </c>
      <c r="Z13" s="31">
        <f t="shared" si="23"/>
        <v>0.008893270173</v>
      </c>
      <c r="AA13" s="37">
        <f>AVERAGE(FORECAST($A13,AA3:AA12,$A3:$A12),AA12*(AVERAGE(AB4:AB12)+1))</f>
        <v>0.4593832308</v>
      </c>
      <c r="AB13" s="31">
        <f t="shared" si="24"/>
        <v>0.0005331452157</v>
      </c>
      <c r="AC13" s="37">
        <f t="shared" si="10"/>
        <v>0.4779431125</v>
      </c>
      <c r="AD13" s="27">
        <f t="shared" ref="AD13:AG13" si="35">AD12+($AH13-$AH12)/4</f>
        <v>0.1571748281</v>
      </c>
      <c r="AE13" s="27">
        <f t="shared" si="35"/>
        <v>0.2961748281</v>
      </c>
      <c r="AF13" s="27">
        <f t="shared" si="35"/>
        <v>0.2601748281</v>
      </c>
      <c r="AG13" s="27">
        <f t="shared" si="35"/>
        <v>0.1251748281</v>
      </c>
      <c r="AH13" s="24">
        <f t="shared" si="33"/>
        <v>0.8386993125</v>
      </c>
      <c r="AI13" s="38">
        <f t="shared" si="13"/>
        <v>0.8947463002</v>
      </c>
      <c r="AJ13" s="21">
        <f t="shared" si="14"/>
        <v>18798.77602</v>
      </c>
      <c r="AK13" s="30" t="str">
        <f t="shared" si="15"/>
        <v>C+</v>
      </c>
      <c r="AL13" s="30" t="str">
        <f t="shared" si="16"/>
        <v>0.89C+</v>
      </c>
    </row>
    <row r="14">
      <c r="A14" s="34">
        <v>2030.0</v>
      </c>
      <c r="B14" s="21">
        <f>AVERAGE(FORECAST($A14,B5:B13,$A5:$A13),B13*(AVERAGE(C6:C13)+1))</f>
        <v>141834754671550</v>
      </c>
      <c r="C14" s="24"/>
      <c r="D14" s="22">
        <f>AVERAGE(FORECAST($A14,D5:D13,$A5:$A13),D13*(AVERAGE(E6:E13)+1))</f>
        <v>8586617399</v>
      </c>
      <c r="E14" s="24"/>
      <c r="F14" s="21">
        <f>AVERAGE(FORECAST($A14,F5:F13,$A5:$A13),F13*(AVERAGE(G6:G13)+1))</f>
        <v>1488140955213</v>
      </c>
      <c r="H14" s="22">
        <f>AVERAGE(FORECAST($A14,H5:H13,$A5:$A13),H13*(AVERAGE(I6:I13)+1))</f>
        <v>36233434.84</v>
      </c>
      <c r="J14" s="35">
        <f t="shared" si="2"/>
        <v>0.0104920755</v>
      </c>
      <c r="K14" s="36">
        <f>FORECAST(A14,K3:K13,A3:A13)</f>
        <v>454789285714</v>
      </c>
      <c r="L14" s="21">
        <f t="shared" si="29"/>
        <v>566445071429</v>
      </c>
      <c r="M14" s="21">
        <f>FORECAST(A14,M3:M13,$A3:$A13)</f>
        <v>111655785714</v>
      </c>
      <c r="N14" s="24">
        <f t="shared" si="21"/>
        <v>0.04226151094</v>
      </c>
      <c r="O14" s="24">
        <f t="shared" si="4"/>
        <v>0.07503038292</v>
      </c>
      <c r="P14" s="24">
        <f>AVERAGE(FORECAST($A14,P3:P13,$A3:$A13),P13*(AVERAGE(Q4:Q13)+1))</f>
        <v>0.347742355</v>
      </c>
      <c r="R14" s="21">
        <f t="shared" si="31"/>
        <v>517489640397</v>
      </c>
      <c r="S14" s="24">
        <f>FORECAST($A14,S3:S13,$A3:$A13)</f>
        <v>0.09178571429</v>
      </c>
      <c r="T14" s="21">
        <f t="shared" si="6"/>
        <v>47498156279</v>
      </c>
      <c r="U14" s="24">
        <f t="shared" si="7"/>
        <v>0.03191778044</v>
      </c>
      <c r="V14" s="24">
        <f>FORECAST($A14,V3:V13,$A3:$A13)</f>
        <v>0.03425646286</v>
      </c>
      <c r="W14" s="21">
        <f t="shared" si="8"/>
        <v>41070.93246</v>
      </c>
      <c r="X14" s="21">
        <f t="shared" si="9"/>
        <v>39663.98759</v>
      </c>
      <c r="Y14" s="37">
        <f>AVERAGE(FORECAST($A14,Y3:Y13,$A3:$A13),Y13*(AVERAGE(Z4:Z13)+1))</f>
        <v>0.9455074154</v>
      </c>
      <c r="AA14" s="37">
        <f>AVERAGE(FORECAST($A14,AA3:AA13,$A3:$A13),AA13*(AVERAGE(AB4:AB13)+1))</f>
        <v>0.4596411985</v>
      </c>
      <c r="AC14" s="37">
        <f t="shared" si="10"/>
        <v>0.4858662169</v>
      </c>
      <c r="AD14" s="27">
        <f t="shared" ref="AD14:AG14" si="36">AD13+($AH14-$AH13)/4</f>
        <v>0.1676585695</v>
      </c>
      <c r="AE14" s="27">
        <f t="shared" si="36"/>
        <v>0.3066585695</v>
      </c>
      <c r="AF14" s="27">
        <f t="shared" si="36"/>
        <v>0.2706585695</v>
      </c>
      <c r="AG14" s="27">
        <f t="shared" si="36"/>
        <v>0.1356585695</v>
      </c>
      <c r="AH14" s="24">
        <f t="shared" si="33"/>
        <v>0.8806342781</v>
      </c>
      <c r="AI14" s="38">
        <f t="shared" si="13"/>
        <v>0.9342389561</v>
      </c>
      <c r="AJ14" s="21">
        <f t="shared" si="14"/>
        <v>19271.3916</v>
      </c>
      <c r="AK14" s="30" t="str">
        <f t="shared" si="15"/>
        <v>C+</v>
      </c>
      <c r="AL14" s="30" t="str">
        <f t="shared" si="16"/>
        <v>0.93C+</v>
      </c>
    </row>
    <row r="18">
      <c r="E18" s="45"/>
      <c r="F18" s="45"/>
      <c r="G18" s="45"/>
      <c r="H18" s="45"/>
      <c r="I18" s="45"/>
      <c r="J18" s="45"/>
      <c r="K18" s="45"/>
      <c r="L18" s="45"/>
    </row>
    <row r="19">
      <c r="E19" s="45"/>
      <c r="I19" s="46"/>
      <c r="J19" s="46"/>
      <c r="K19" s="46"/>
    </row>
    <row r="20">
      <c r="E20" s="45"/>
      <c r="I20" s="46"/>
      <c r="J20" s="46"/>
      <c r="K20" s="46"/>
    </row>
    <row r="21">
      <c r="E21" s="45"/>
      <c r="I21" s="46"/>
      <c r="J21" s="46"/>
      <c r="K21" s="46"/>
    </row>
    <row r="22">
      <c r="E22" s="45"/>
      <c r="I22" s="46"/>
      <c r="J22" s="46"/>
      <c r="K22" s="46"/>
    </row>
    <row r="23">
      <c r="E23" s="45"/>
      <c r="I23" s="46"/>
      <c r="J23" s="46"/>
      <c r="K23" s="46"/>
    </row>
    <row r="24">
      <c r="E24" s="45"/>
      <c r="I24" s="46"/>
      <c r="J24" s="46"/>
      <c r="K24" s="46"/>
    </row>
  </sheetData>
  <mergeCells count="1">
    <mergeCell ref="B1:AL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18.38"/>
    <col customWidth="1" min="16" max="16" width="18.5"/>
    <col customWidth="1" min="17" max="17" width="16.75"/>
    <col customWidth="1" min="19" max="19" width="14.38"/>
    <col customWidth="1" min="20" max="20" width="20.5"/>
    <col customWidth="1" min="35" max="35" width="19.88"/>
    <col customWidth="1" min="36" max="36" width="16.88"/>
  </cols>
  <sheetData>
    <row r="1">
      <c r="A1" s="1" t="s">
        <v>88</v>
      </c>
      <c r="B1" s="18" t="s">
        <v>120</v>
      </c>
      <c r="AL1" s="18"/>
      <c r="AM1" s="18"/>
      <c r="AN1" s="18"/>
      <c r="AO1" s="18"/>
      <c r="AP1" s="18"/>
      <c r="AQ1" s="18"/>
    </row>
    <row r="2">
      <c r="A2" s="1" t="s">
        <v>90</v>
      </c>
      <c r="B2" s="1" t="s">
        <v>20</v>
      </c>
      <c r="C2" s="1" t="s">
        <v>91</v>
      </c>
      <c r="D2" s="1" t="s">
        <v>92</v>
      </c>
      <c r="E2" s="1" t="s">
        <v>93</v>
      </c>
      <c r="F2" s="1" t="s">
        <v>19</v>
      </c>
      <c r="G2" s="1" t="s">
        <v>94</v>
      </c>
      <c r="H2" s="1" t="s">
        <v>95</v>
      </c>
      <c r="I2" s="1" t="s">
        <v>96</v>
      </c>
      <c r="J2" s="19" t="s">
        <v>97</v>
      </c>
      <c r="K2" s="1" t="s">
        <v>98</v>
      </c>
      <c r="L2" s="1" t="s">
        <v>99</v>
      </c>
      <c r="M2" s="1" t="s">
        <v>100</v>
      </c>
      <c r="N2" s="19" t="s">
        <v>102</v>
      </c>
      <c r="O2" s="1" t="s">
        <v>103</v>
      </c>
      <c r="P2" s="1" t="s">
        <v>104</v>
      </c>
      <c r="Q2" s="1" t="s">
        <v>105</v>
      </c>
      <c r="R2" s="1" t="s">
        <v>106</v>
      </c>
      <c r="S2" s="1" t="s">
        <v>107</v>
      </c>
      <c r="T2" s="19" t="s">
        <v>108</v>
      </c>
      <c r="U2" s="1" t="s">
        <v>25</v>
      </c>
      <c r="V2" s="1" t="s">
        <v>109</v>
      </c>
      <c r="W2" s="19" t="s">
        <v>5</v>
      </c>
      <c r="X2" s="1" t="s">
        <v>29</v>
      </c>
      <c r="Y2" s="1" t="s">
        <v>110</v>
      </c>
      <c r="Z2" s="1" t="s">
        <v>30</v>
      </c>
      <c r="AA2" s="1" t="s">
        <v>111</v>
      </c>
      <c r="AB2" s="19" t="s">
        <v>9</v>
      </c>
      <c r="AC2" s="1" t="s">
        <v>112</v>
      </c>
      <c r="AD2" s="1" t="s">
        <v>113</v>
      </c>
      <c r="AE2" s="1" t="s">
        <v>114</v>
      </c>
      <c r="AF2" s="1" t="s">
        <v>115</v>
      </c>
      <c r="AG2" s="19" t="s">
        <v>116</v>
      </c>
      <c r="AH2" s="20" t="s">
        <v>117</v>
      </c>
      <c r="AI2" s="20" t="s">
        <v>2</v>
      </c>
      <c r="AJ2" s="1" t="s">
        <v>118</v>
      </c>
      <c r="AK2" s="1" t="s">
        <v>119</v>
      </c>
      <c r="AL2" s="1"/>
      <c r="AM2" s="1"/>
      <c r="AN2" s="1"/>
      <c r="AO2" s="1"/>
      <c r="AP2" s="1"/>
      <c r="AQ2" s="1"/>
    </row>
    <row r="3">
      <c r="A3" s="1">
        <v>2019.0</v>
      </c>
      <c r="B3" s="21">
        <f>87.7*1000000000000</f>
        <v>87700000000000</v>
      </c>
      <c r="C3" s="21"/>
      <c r="D3" s="22">
        <f>7.81*10^9</f>
        <v>7810000000</v>
      </c>
      <c r="E3" s="22"/>
      <c r="F3" s="21">
        <v>1.751046E12</v>
      </c>
      <c r="G3" s="21"/>
      <c r="H3" s="32">
        <v>5.1764822E7</v>
      </c>
      <c r="I3" s="22"/>
      <c r="J3" s="23">
        <f t="shared" ref="J3:J14" si="2">F3/B3</f>
        <v>0.01996631699</v>
      </c>
      <c r="K3" s="21">
        <v>6.024602E11</v>
      </c>
      <c r="L3" s="21">
        <v>6.486106E11</v>
      </c>
      <c r="M3" s="21">
        <f t="shared" ref="M3:M8" si="3">L3-K3</f>
        <v>46150400000</v>
      </c>
      <c r="N3" s="23">
        <f t="shared" ref="N3:N14" si="4">M3/F3</f>
        <v>0.02635590384</v>
      </c>
      <c r="O3" s="31">
        <v>0.37695483</v>
      </c>
      <c r="P3" s="24"/>
      <c r="Q3" s="21">
        <f t="shared" ref="Q3:Q8" si="5">O3*F3</f>
        <v>660065247252</v>
      </c>
      <c r="R3" s="31">
        <v>0.040956089999999994</v>
      </c>
      <c r="S3" s="21">
        <f t="shared" ref="S3:S14" si="6">Q3*R3</f>
        <v>27033691672</v>
      </c>
      <c r="T3" s="23">
        <f t="shared" ref="T3:T14" si="7">S3/F3</f>
        <v>0.01543859594</v>
      </c>
      <c r="U3" s="31">
        <v>0.00383</v>
      </c>
      <c r="V3" s="21">
        <f t="shared" ref="V3:V14" si="8">F3/H3</f>
        <v>33826.94912</v>
      </c>
      <c r="W3" s="25">
        <f t="shared" ref="W3:W14" si="9">V3*(1-U3)</f>
        <v>33697.3919</v>
      </c>
      <c r="X3" s="3">
        <v>0.91</v>
      </c>
      <c r="Y3" s="3"/>
      <c r="Z3" s="41">
        <v>0.332</v>
      </c>
      <c r="AA3" s="3"/>
      <c r="AB3" s="26">
        <f t="shared" ref="AB3:AB14" si="10">X3-Z3</f>
        <v>0.578</v>
      </c>
      <c r="AC3" s="27">
        <f t="shared" ref="AC3:AF3" si="1">AC4+($AG3-$AG4)/4</f>
        <v>0.05801262692</v>
      </c>
      <c r="AD3" s="27">
        <f t="shared" si="1"/>
        <v>0.07501262692</v>
      </c>
      <c r="AE3" s="27">
        <f t="shared" si="1"/>
        <v>0.08101262692</v>
      </c>
      <c r="AF3" s="27">
        <f t="shared" si="1"/>
        <v>0.03001262692</v>
      </c>
      <c r="AG3" s="23">
        <f t="shared" ref="AG3:AG8" si="12">AG4*95%</f>
        <v>0.2440505077</v>
      </c>
      <c r="AH3" s="39">
        <f t="shared" ref="AH3:AH14" si="13">AG3+J3+N3-T3</f>
        <v>0.2749341326</v>
      </c>
      <c r="AI3" s="29">
        <f t="shared" ref="AI3:AI14" si="14">W3*AB3</f>
        <v>19477.09252</v>
      </c>
      <c r="AJ3" s="30" t="str">
        <f t="shared" ref="AJ3:AJ14" si="15">IFS(
AI3&lt;=2500,"D-",
AI3&lt;=5000,"D",
AI3&lt;=10000,"D+",
AI3&lt;=12500,"C-",
AI3&lt;=15000,"C",
AI3&lt;=20000,"C+",
AI3&lt;=25000,"B-",
AI3&lt;=30000,"B",
AI3&lt;=35000,"B+",
AI3&lt;=40000,"A-",
AI3&lt;=50000,"A",
AI3&lt;=100000,"A+",
TRUE,"Out of range"
)
</f>
        <v>C+</v>
      </c>
      <c r="AK3" s="30" t="str">
        <f t="shared" ref="AK3:AK14" si="16">CONCAT(ROUND(AH3,2),AJ3)</f>
        <v>0.27C+</v>
      </c>
    </row>
    <row r="4">
      <c r="A4" s="1">
        <v>2020.0</v>
      </c>
      <c r="B4" s="21">
        <f>84.75*1000000000000</f>
        <v>84750000000000</v>
      </c>
      <c r="C4" s="24">
        <f t="shared" ref="C4:C13" si="17">(B4-B3)/B3</f>
        <v>-0.03363740023</v>
      </c>
      <c r="D4" s="22">
        <f>7.89*10^9</f>
        <v>7890000000</v>
      </c>
      <c r="E4" s="24">
        <f t="shared" ref="E4:E13" si="18">(D4-D3)/D3</f>
        <v>0.01024327785</v>
      </c>
      <c r="F4" s="21">
        <v>1.74407E12</v>
      </c>
      <c r="G4" s="24">
        <f t="shared" ref="G4:G13" si="19">(F4-F3)/F3</f>
        <v>-0.003983904478</v>
      </c>
      <c r="H4" s="32">
        <v>5.1836239E7</v>
      </c>
      <c r="I4" s="24">
        <f t="shared" ref="I4:I13" si="20">(H4-H3)/H3</f>
        <v>0.001379643496</v>
      </c>
      <c r="J4" s="23">
        <f t="shared" si="2"/>
        <v>0.02057899705</v>
      </c>
      <c r="K4" s="21">
        <v>5.394367E11</v>
      </c>
      <c r="L4" s="21">
        <v>6.037134E11</v>
      </c>
      <c r="M4" s="21">
        <f t="shared" si="3"/>
        <v>64276700000</v>
      </c>
      <c r="N4" s="23">
        <f t="shared" si="4"/>
        <v>0.03685442671</v>
      </c>
      <c r="O4" s="31">
        <v>0.43775799</v>
      </c>
      <c r="P4" s="24">
        <f t="shared" ref="P4:P13" si="21">(O4-O3)/O3</f>
        <v>0.1613009177</v>
      </c>
      <c r="Q4" s="21">
        <f t="shared" si="5"/>
        <v>763480577619</v>
      </c>
      <c r="R4" s="31">
        <v>0.01195502</v>
      </c>
      <c r="S4" s="21">
        <f t="shared" si="6"/>
        <v>9127425575</v>
      </c>
      <c r="T4" s="23">
        <f t="shared" si="7"/>
        <v>0.005233405526</v>
      </c>
      <c r="U4" s="31">
        <v>0.00537288</v>
      </c>
      <c r="V4" s="21">
        <f t="shared" si="8"/>
        <v>33645.76662</v>
      </c>
      <c r="W4" s="25">
        <f t="shared" si="9"/>
        <v>33464.99196</v>
      </c>
      <c r="X4" s="3">
        <v>0.92</v>
      </c>
      <c r="Y4" s="31">
        <f t="shared" ref="Y4:Y13" si="22">(X4-X3)/X3</f>
        <v>0.01098901099</v>
      </c>
      <c r="Z4" s="41">
        <v>0.327</v>
      </c>
      <c r="AA4" s="31">
        <f t="shared" ref="AA4:AA13" si="23">(Z4-Z3)/Z4</f>
        <v>-0.01529051988</v>
      </c>
      <c r="AB4" s="26">
        <f t="shared" si="10"/>
        <v>0.593</v>
      </c>
      <c r="AC4" s="27">
        <f t="shared" ref="AC4:AF4" si="11">AC5+($AG4-$AG5)/4</f>
        <v>0.06122381781</v>
      </c>
      <c r="AD4" s="27">
        <f t="shared" si="11"/>
        <v>0.07822381781</v>
      </c>
      <c r="AE4" s="27">
        <f t="shared" si="11"/>
        <v>0.08422381781</v>
      </c>
      <c r="AF4" s="27">
        <f t="shared" si="11"/>
        <v>0.03322381781</v>
      </c>
      <c r="AG4" s="23">
        <f t="shared" si="12"/>
        <v>0.2568952713</v>
      </c>
      <c r="AH4" s="39">
        <f t="shared" si="13"/>
        <v>0.3090952895</v>
      </c>
      <c r="AI4" s="29">
        <f t="shared" si="14"/>
        <v>19844.74023</v>
      </c>
      <c r="AJ4" s="30" t="str">
        <f t="shared" si="15"/>
        <v>C+</v>
      </c>
      <c r="AK4" s="30" t="str">
        <f t="shared" si="16"/>
        <v>0.31C+</v>
      </c>
    </row>
    <row r="5">
      <c r="A5" s="1">
        <v>2021.0</v>
      </c>
      <c r="B5" s="21">
        <f>96.14*1000000000000</f>
        <v>96140000000000</v>
      </c>
      <c r="C5" s="24">
        <f t="shared" si="17"/>
        <v>0.1343952802</v>
      </c>
      <c r="D5" s="22">
        <f>7.95*10^9</f>
        <v>7950000000</v>
      </c>
      <c r="E5" s="24">
        <f t="shared" si="18"/>
        <v>0.007604562738</v>
      </c>
      <c r="F5" s="21">
        <v>1.942314E12</v>
      </c>
      <c r="G5" s="24">
        <f t="shared" si="19"/>
        <v>0.113667456</v>
      </c>
      <c r="H5" s="32">
        <v>5.1769539E7</v>
      </c>
      <c r="I5" s="24">
        <f t="shared" si="20"/>
        <v>-0.001286744588</v>
      </c>
      <c r="J5" s="23">
        <f t="shared" si="2"/>
        <v>0.02020297483</v>
      </c>
      <c r="K5" s="21">
        <v>6.986013E11</v>
      </c>
      <c r="L5" s="21">
        <v>7.640832E11</v>
      </c>
      <c r="M5" s="21">
        <f t="shared" si="3"/>
        <v>65481900000</v>
      </c>
      <c r="N5" s="23">
        <f t="shared" si="4"/>
        <v>0.03371334398</v>
      </c>
      <c r="O5" s="31">
        <v>0.45832892999999997</v>
      </c>
      <c r="P5" s="24">
        <f t="shared" si="21"/>
        <v>0.0469915809</v>
      </c>
      <c r="Q5" s="21">
        <f t="shared" si="5"/>
        <v>890218697344</v>
      </c>
      <c r="R5" s="31">
        <v>-0.0028721600000000003</v>
      </c>
      <c r="S5" s="21">
        <f t="shared" si="6"/>
        <v>-2556850534</v>
      </c>
      <c r="T5" s="23">
        <f t="shared" si="7"/>
        <v>-0.00131639402</v>
      </c>
      <c r="U5" s="31">
        <v>0.02498333</v>
      </c>
      <c r="V5" s="21">
        <f t="shared" si="8"/>
        <v>37518.47201</v>
      </c>
      <c r="W5" s="25">
        <f t="shared" si="9"/>
        <v>36581.13564</v>
      </c>
      <c r="X5" s="3">
        <v>0.93</v>
      </c>
      <c r="Y5" s="31">
        <f t="shared" si="22"/>
        <v>0.01086956522</v>
      </c>
      <c r="Z5" s="41">
        <v>0.32899999999999996</v>
      </c>
      <c r="AA5" s="31">
        <f t="shared" si="23"/>
        <v>0.006079027356</v>
      </c>
      <c r="AB5" s="26">
        <f t="shared" si="10"/>
        <v>0.601</v>
      </c>
      <c r="AC5" s="27">
        <f t="shared" ref="AC5:AF5" si="24">AC6+($AG5-$AG6)/4</f>
        <v>0.06460401875</v>
      </c>
      <c r="AD5" s="27">
        <f t="shared" si="24"/>
        <v>0.08160401875</v>
      </c>
      <c r="AE5" s="27">
        <f t="shared" si="24"/>
        <v>0.08760401875</v>
      </c>
      <c r="AF5" s="27">
        <f t="shared" si="24"/>
        <v>0.03660401875</v>
      </c>
      <c r="AG5" s="23">
        <f t="shared" si="12"/>
        <v>0.270416075</v>
      </c>
      <c r="AH5" s="39">
        <f t="shared" si="13"/>
        <v>0.3256487878</v>
      </c>
      <c r="AI5" s="29">
        <f t="shared" si="14"/>
        <v>21985.26252</v>
      </c>
      <c r="AJ5" s="30" t="str">
        <f t="shared" si="15"/>
        <v>B-</v>
      </c>
      <c r="AK5" s="30" t="str">
        <f t="shared" si="16"/>
        <v>0.33B-</v>
      </c>
    </row>
    <row r="6">
      <c r="A6" s="1">
        <v>2022.0</v>
      </c>
      <c r="B6" s="21">
        <f>101.56*1000000000000</f>
        <v>101560000000000</v>
      </c>
      <c r="C6" s="24">
        <f t="shared" si="17"/>
        <v>0.05637611816</v>
      </c>
      <c r="D6" s="22">
        <f>8.02*10^9</f>
        <v>8020000000</v>
      </c>
      <c r="E6" s="24">
        <f t="shared" si="18"/>
        <v>0.008805031447</v>
      </c>
      <c r="F6" s="21">
        <v>1.799363E12</v>
      </c>
      <c r="G6" s="24">
        <f t="shared" si="19"/>
        <v>-0.07359829564</v>
      </c>
      <c r="H6" s="32">
        <v>5.1672569E7</v>
      </c>
      <c r="I6" s="24">
        <f t="shared" si="20"/>
        <v>-0.001873109204</v>
      </c>
      <c r="J6" s="23">
        <f t="shared" si="2"/>
        <v>0.01771724104</v>
      </c>
      <c r="K6" s="21">
        <v>8.149367E11</v>
      </c>
      <c r="L6" s="21">
        <v>8.15019E11</v>
      </c>
      <c r="M6" s="21">
        <f t="shared" si="3"/>
        <v>82300000</v>
      </c>
      <c r="N6" s="23">
        <f t="shared" si="4"/>
        <v>0.00004573840854</v>
      </c>
      <c r="O6" s="31">
        <v>0.47611065</v>
      </c>
      <c r="P6" s="24">
        <f t="shared" si="21"/>
        <v>0.03879685273</v>
      </c>
      <c r="Q6" s="21">
        <f t="shared" si="5"/>
        <v>856695887516</v>
      </c>
      <c r="R6" s="31">
        <v>0.024405290000000003</v>
      </c>
      <c r="S6" s="21">
        <f t="shared" si="6"/>
        <v>20907911577</v>
      </c>
      <c r="T6" s="23">
        <f t="shared" si="7"/>
        <v>0.01161961849</v>
      </c>
      <c r="U6" s="31">
        <v>0.050895140000000005</v>
      </c>
      <c r="V6" s="21">
        <f t="shared" si="8"/>
        <v>34822.40258</v>
      </c>
      <c r="W6" s="25">
        <f t="shared" si="9"/>
        <v>33050.11152</v>
      </c>
      <c r="X6" s="3">
        <v>0.93</v>
      </c>
      <c r="Y6" s="31">
        <f t="shared" si="22"/>
        <v>0</v>
      </c>
      <c r="Z6" s="41">
        <f>AVERAGE(Z5,Z9)</f>
        <v>0.331</v>
      </c>
      <c r="AA6" s="31">
        <f t="shared" si="23"/>
        <v>0.006042296073</v>
      </c>
      <c r="AB6" s="26">
        <f t="shared" si="10"/>
        <v>0.599</v>
      </c>
      <c r="AC6" s="27">
        <f t="shared" ref="AC6:AF6" si="25">AC7+($AG6-$AG7)/4</f>
        <v>0.068162125</v>
      </c>
      <c r="AD6" s="27">
        <f t="shared" si="25"/>
        <v>0.085162125</v>
      </c>
      <c r="AE6" s="27">
        <f t="shared" si="25"/>
        <v>0.091162125</v>
      </c>
      <c r="AF6" s="27">
        <f t="shared" si="25"/>
        <v>0.040162125</v>
      </c>
      <c r="AG6" s="23">
        <f t="shared" si="12"/>
        <v>0.2846485</v>
      </c>
      <c r="AH6" s="39">
        <f t="shared" si="13"/>
        <v>0.290791861</v>
      </c>
      <c r="AI6" s="29">
        <f t="shared" si="14"/>
        <v>19797.0168</v>
      </c>
      <c r="AJ6" s="30" t="str">
        <f t="shared" si="15"/>
        <v>C+</v>
      </c>
      <c r="AK6" s="30" t="str">
        <f t="shared" si="16"/>
        <v>0.29C+</v>
      </c>
    </row>
    <row r="7">
      <c r="A7" s="1">
        <v>2023.0</v>
      </c>
      <c r="B7" s="21">
        <f>106.8*1000000000000</f>
        <v>106800000000000</v>
      </c>
      <c r="C7" s="24">
        <f t="shared" si="17"/>
        <v>0.05159511619</v>
      </c>
      <c r="D7" s="32">
        <f>8.09*10^9</f>
        <v>8090000000</v>
      </c>
      <c r="E7" s="24">
        <f t="shared" si="18"/>
        <v>0.008728179551</v>
      </c>
      <c r="F7" s="21">
        <v>1.844801E12</v>
      </c>
      <c r="G7" s="24">
        <f t="shared" si="19"/>
        <v>0.02525226983</v>
      </c>
      <c r="H7" s="32">
        <v>5.1712619E7</v>
      </c>
      <c r="I7" s="24">
        <f t="shared" si="20"/>
        <v>0.000775072747</v>
      </c>
      <c r="J7" s="23">
        <f t="shared" si="2"/>
        <v>0.0172734176</v>
      </c>
      <c r="K7" s="21">
        <v>7.551975E11</v>
      </c>
      <c r="L7" s="21">
        <v>7.622991E11</v>
      </c>
      <c r="M7" s="21">
        <f t="shared" si="3"/>
        <v>7101600000</v>
      </c>
      <c r="N7" s="23">
        <f t="shared" si="4"/>
        <v>0.003849520897</v>
      </c>
      <c r="O7" s="31">
        <v>0.4855438</v>
      </c>
      <c r="P7" s="24">
        <f t="shared" si="21"/>
        <v>0.01981293634</v>
      </c>
      <c r="Q7" s="21">
        <f t="shared" si="5"/>
        <v>895731687784</v>
      </c>
      <c r="R7" s="31">
        <v>0.03087726</v>
      </c>
      <c r="S7" s="21">
        <f t="shared" si="6"/>
        <v>27657740214</v>
      </c>
      <c r="T7" s="23">
        <f t="shared" si="7"/>
        <v>0.01499226215</v>
      </c>
      <c r="U7" s="31">
        <v>0.03597456</v>
      </c>
      <c r="V7" s="21">
        <f t="shared" si="8"/>
        <v>35674.09726</v>
      </c>
      <c r="W7" s="25">
        <f t="shared" si="9"/>
        <v>34390.73731</v>
      </c>
      <c r="X7" s="3">
        <v>0.93</v>
      </c>
      <c r="Y7" s="31">
        <f t="shared" si="22"/>
        <v>0</v>
      </c>
      <c r="Z7" s="41">
        <f>AVERAGE(Z6,Z9)</f>
        <v>0.332</v>
      </c>
      <c r="AA7" s="31">
        <f t="shared" si="23"/>
        <v>0.003012048193</v>
      </c>
      <c r="AB7" s="26">
        <f t="shared" si="10"/>
        <v>0.598</v>
      </c>
      <c r="AC7" s="27">
        <f t="shared" ref="AC7:AF7" si="26">AC8+($AG7-$AG8)/4</f>
        <v>0.0719075</v>
      </c>
      <c r="AD7" s="27">
        <f t="shared" si="26"/>
        <v>0.0889075</v>
      </c>
      <c r="AE7" s="27">
        <f t="shared" si="26"/>
        <v>0.0949075</v>
      </c>
      <c r="AF7" s="27">
        <f t="shared" si="26"/>
        <v>0.0439075</v>
      </c>
      <c r="AG7" s="23">
        <f t="shared" si="12"/>
        <v>0.29963</v>
      </c>
      <c r="AH7" s="39">
        <f t="shared" si="13"/>
        <v>0.3057606763</v>
      </c>
      <c r="AI7" s="29">
        <f t="shared" si="14"/>
        <v>20565.66091</v>
      </c>
      <c r="AJ7" s="30" t="str">
        <f t="shared" si="15"/>
        <v>B-</v>
      </c>
      <c r="AK7" s="30" t="str">
        <f t="shared" si="16"/>
        <v>0.31B-</v>
      </c>
    </row>
    <row r="8">
      <c r="A8" s="1">
        <v>2024.0</v>
      </c>
      <c r="B8" s="21">
        <f>112.6*1000000000000</f>
        <v>112600000000000</v>
      </c>
      <c r="C8" s="24">
        <f t="shared" si="17"/>
        <v>0.0543071161</v>
      </c>
      <c r="D8" s="32">
        <v>8.161972572E9</v>
      </c>
      <c r="E8" s="24">
        <f t="shared" si="18"/>
        <v>0.008896486032</v>
      </c>
      <c r="F8" s="21">
        <v>1.875388E12</v>
      </c>
      <c r="G8" s="24">
        <f t="shared" si="19"/>
        <v>0.0165801081</v>
      </c>
      <c r="H8" s="32">
        <v>5.1751065E7</v>
      </c>
      <c r="I8" s="24">
        <f t="shared" si="20"/>
        <v>0.0007434549002</v>
      </c>
      <c r="J8" s="23">
        <f t="shared" si="2"/>
        <v>0.01665531083</v>
      </c>
      <c r="K8" s="21">
        <v>7.554862E11</v>
      </c>
      <c r="L8" s="21">
        <v>8.318892E11</v>
      </c>
      <c r="M8" s="21">
        <f t="shared" si="3"/>
        <v>76403000000</v>
      </c>
      <c r="N8" s="23">
        <f t="shared" si="4"/>
        <v>0.04073983624</v>
      </c>
      <c r="O8" s="31">
        <f>AVERAGE(O7,O9)</f>
        <v>0.5154719</v>
      </c>
      <c r="P8" s="24">
        <f t="shared" si="21"/>
        <v>0.06163831152</v>
      </c>
      <c r="Q8" s="21">
        <f t="shared" si="5"/>
        <v>966709815597</v>
      </c>
      <c r="R8" s="31">
        <v>0.006344689999999999</v>
      </c>
      <c r="S8" s="21">
        <f t="shared" si="6"/>
        <v>6133474100</v>
      </c>
      <c r="T8" s="23">
        <f t="shared" si="7"/>
        <v>0.003270509409</v>
      </c>
      <c r="U8" s="31">
        <v>0.02321743</v>
      </c>
      <c r="V8" s="21">
        <f t="shared" si="8"/>
        <v>36238.63586</v>
      </c>
      <c r="W8" s="25">
        <f t="shared" si="9"/>
        <v>35397.26787</v>
      </c>
      <c r="X8" s="43">
        <v>0.94</v>
      </c>
      <c r="Y8" s="31">
        <f t="shared" si="22"/>
        <v>0.01075268817</v>
      </c>
      <c r="Z8" s="41">
        <f>AVERAGE(Z7,Z9)</f>
        <v>0.3325</v>
      </c>
      <c r="AA8" s="31">
        <f t="shared" si="23"/>
        <v>0.001503759398</v>
      </c>
      <c r="AB8" s="26">
        <f t="shared" si="10"/>
        <v>0.6075</v>
      </c>
      <c r="AC8" s="27">
        <f t="shared" ref="AC8:AF8" si="27">AC9+($AG8-$AG9)/4</f>
        <v>0.07585</v>
      </c>
      <c r="AD8" s="27">
        <f t="shared" si="27"/>
        <v>0.09285</v>
      </c>
      <c r="AE8" s="27">
        <f t="shared" si="27"/>
        <v>0.09885</v>
      </c>
      <c r="AF8" s="27">
        <f t="shared" si="27"/>
        <v>0.04785</v>
      </c>
      <c r="AG8" s="23">
        <f t="shared" si="12"/>
        <v>0.3154</v>
      </c>
      <c r="AH8" s="39">
        <f t="shared" si="13"/>
        <v>0.3695246377</v>
      </c>
      <c r="AI8" s="29">
        <f t="shared" si="14"/>
        <v>21503.84023</v>
      </c>
      <c r="AJ8" s="30" t="str">
        <f t="shared" si="15"/>
        <v>B-</v>
      </c>
      <c r="AK8" s="30" t="str">
        <f t="shared" si="16"/>
        <v>0.37B-</v>
      </c>
    </row>
    <row r="9">
      <c r="A9" s="1">
        <v>2025.0</v>
      </c>
      <c r="B9" s="33">
        <v>1.13795678E14</v>
      </c>
      <c r="C9" s="24">
        <f t="shared" si="17"/>
        <v>0.01061880995</v>
      </c>
      <c r="D9" s="32">
        <v>8.23161307E9</v>
      </c>
      <c r="E9" s="24">
        <f t="shared" si="18"/>
        <v>0.008532312181</v>
      </c>
      <c r="F9" s="33">
        <v>1.79E12</v>
      </c>
      <c r="G9" s="24">
        <f t="shared" si="19"/>
        <v>-0.04553084482</v>
      </c>
      <c r="H9" s="32">
        <v>5.21E7</v>
      </c>
      <c r="I9" s="24">
        <f t="shared" si="20"/>
        <v>0.006742566554</v>
      </c>
      <c r="J9" s="23">
        <f t="shared" si="2"/>
        <v>0.01572994714</v>
      </c>
      <c r="K9" s="33">
        <f>1663000000000/2</f>
        <v>831500000000</v>
      </c>
      <c r="L9" s="21">
        <f t="shared" ref="L9:L14" si="28">K9+M9</f>
        <v>883100000000</v>
      </c>
      <c r="M9" s="33">
        <v>5.16E10</v>
      </c>
      <c r="N9" s="23">
        <f t="shared" si="4"/>
        <v>0.02882681564</v>
      </c>
      <c r="O9" s="24">
        <f>Q9/F9</f>
        <v>0.5454</v>
      </c>
      <c r="P9" s="24">
        <f t="shared" si="21"/>
        <v>0.05805961489</v>
      </c>
      <c r="Q9" s="33">
        <v>9.76266E11</v>
      </c>
      <c r="R9" s="31">
        <v>0.0275</v>
      </c>
      <c r="S9" s="21">
        <f t="shared" si="6"/>
        <v>26847315000</v>
      </c>
      <c r="T9" s="23">
        <f t="shared" si="7"/>
        <v>0.0149985</v>
      </c>
      <c r="U9" s="31">
        <v>0.023</v>
      </c>
      <c r="V9" s="21">
        <f t="shared" si="8"/>
        <v>34357.00576</v>
      </c>
      <c r="W9" s="25">
        <f t="shared" si="9"/>
        <v>33566.79463</v>
      </c>
      <c r="X9" s="43">
        <v>0.937</v>
      </c>
      <c r="Y9" s="31">
        <f t="shared" si="22"/>
        <v>-0.003191489362</v>
      </c>
      <c r="Z9" s="41">
        <v>0.333</v>
      </c>
      <c r="AA9" s="31">
        <f t="shared" si="23"/>
        <v>0.001501501502</v>
      </c>
      <c r="AB9" s="26">
        <f t="shared" si="10"/>
        <v>0.604</v>
      </c>
      <c r="AC9" s="31">
        <v>0.08</v>
      </c>
      <c r="AD9" s="31">
        <v>0.097</v>
      </c>
      <c r="AE9" s="31">
        <v>0.103</v>
      </c>
      <c r="AF9" s="31">
        <v>0.052</v>
      </c>
      <c r="AG9" s="23">
        <f>SUM(AC9:AF9)</f>
        <v>0.332</v>
      </c>
      <c r="AH9" s="39">
        <f t="shared" si="13"/>
        <v>0.3615582628</v>
      </c>
      <c r="AI9" s="29">
        <f t="shared" si="14"/>
        <v>20274.34395</v>
      </c>
      <c r="AJ9" s="30" t="str">
        <f t="shared" si="15"/>
        <v>B-</v>
      </c>
      <c r="AK9" s="30" t="str">
        <f t="shared" si="16"/>
        <v>0.36B-</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1830471529359</v>
      </c>
      <c r="G10" s="24">
        <f t="shared" si="19"/>
        <v>0.02260979294</v>
      </c>
      <c r="H10" s="22">
        <f>AVERAGE(FORECAST(A10,H3:H9,$A$3:$A$9),H9*(AVERAGE(I4:I9)+1))</f>
        <v>52034217.77</v>
      </c>
      <c r="I10" s="24">
        <f t="shared" si="20"/>
        <v>-0.001262614852</v>
      </c>
      <c r="J10" s="35">
        <f t="shared" si="2"/>
        <v>0.01524582239</v>
      </c>
      <c r="K10" s="36">
        <f>FORECAST(A10,K3:K9,A3:A9)</f>
        <v>881919028571</v>
      </c>
      <c r="L10" s="36">
        <f t="shared" si="28"/>
        <v>923821457143</v>
      </c>
      <c r="M10" s="21">
        <f>FORECAST(A10,M3:M9,$A$3:$A$9)</f>
        <v>41902428571</v>
      </c>
      <c r="N10" s="24">
        <f t="shared" si="4"/>
        <v>0.02289160356</v>
      </c>
      <c r="O10" s="24">
        <f>AVERAGE(FORECAST(A10,O3:O9,$A$3:$A$9),O9*(AVERAGE(P4:P9)+1))</f>
        <v>0.5748100012</v>
      </c>
      <c r="P10" s="24">
        <f t="shared" si="21"/>
        <v>0.05392372783</v>
      </c>
      <c r="Q10" s="21">
        <f t="shared" ref="Q10:Q14" si="30">O10*F10</f>
        <v>1052173341909</v>
      </c>
      <c r="R10" s="24">
        <f>FORECAST(A10,R3:R9,$A$3:$A$9)</f>
        <v>0.01733238286</v>
      </c>
      <c r="S10" s="21">
        <f t="shared" si="6"/>
        <v>18236671194</v>
      </c>
      <c r="T10" s="24">
        <f t="shared" si="7"/>
        <v>0.00996282701</v>
      </c>
      <c r="U10" s="24">
        <f>FORECAST(A10,U3:U9,$A$3:$A$9)</f>
        <v>0.03878052429</v>
      </c>
      <c r="V10" s="21">
        <f t="shared" si="8"/>
        <v>35178.2271</v>
      </c>
      <c r="W10" s="21">
        <f t="shared" si="9"/>
        <v>33813.99701</v>
      </c>
      <c r="X10" s="37">
        <f>AVERAGE(FORECAST(A10,X3:X9,$A$3:$A$9),X9*(AVERAGE(Y4:Y9)+1))</f>
        <v>0.9435114798</v>
      </c>
      <c r="Y10" s="31">
        <f t="shared" si="22"/>
        <v>0.006949284753</v>
      </c>
      <c r="Z10" s="38">
        <f>AVERAGE(FORECAST(A10,Z3:Z9,$A$3:$A$9),Z9*(AVERAGE(AA4:AA9)+1))</f>
        <v>0.3332576066</v>
      </c>
      <c r="AA10" s="31">
        <f t="shared" si="23"/>
        <v>0.0007729952726</v>
      </c>
      <c r="AB10" s="37">
        <f t="shared" si="10"/>
        <v>0.6102538733</v>
      </c>
      <c r="AC10" s="27">
        <f t="shared" ref="AC10:AF10" si="29">AC9+($AG10-$AG9)/4</f>
        <v>0.08415</v>
      </c>
      <c r="AD10" s="27">
        <f t="shared" si="29"/>
        <v>0.10115</v>
      </c>
      <c r="AE10" s="27">
        <f t="shared" si="29"/>
        <v>0.10715</v>
      </c>
      <c r="AF10" s="27">
        <f t="shared" si="29"/>
        <v>0.05615</v>
      </c>
      <c r="AG10" s="24">
        <f t="shared" ref="AG10:AG14" si="32">AG9*1.05</f>
        <v>0.3486</v>
      </c>
      <c r="AH10" s="38">
        <f t="shared" si="13"/>
        <v>0.3767745989</v>
      </c>
      <c r="AI10" s="21">
        <f t="shared" si="14"/>
        <v>20635.12264</v>
      </c>
      <c r="AJ10" s="30" t="str">
        <f t="shared" si="15"/>
        <v>B-</v>
      </c>
      <c r="AK10" s="30" t="str">
        <f t="shared" si="16"/>
        <v>0.38B-</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1850400034695</v>
      </c>
      <c r="G11" s="24">
        <f t="shared" si="19"/>
        <v>0.01088708839</v>
      </c>
      <c r="H11" s="22">
        <f>AVERAGE(FORECAST($A11,H3:H10,$A3:$A10),H10*(AVERAGE(I4:I10)+1))</f>
        <v>52036995.79</v>
      </c>
      <c r="I11" s="24">
        <f t="shared" si="20"/>
        <v>0.00005338844905</v>
      </c>
      <c r="J11" s="35">
        <f t="shared" si="2"/>
        <v>0.01471660285</v>
      </c>
      <c r="K11" s="36">
        <f>FORECAST(A11,K3:K10,A3:A10)</f>
        <v>923912407143</v>
      </c>
      <c r="L11" s="21">
        <f t="shared" si="28"/>
        <v>965179875000</v>
      </c>
      <c r="M11" s="21">
        <f>FORECAST($A11,M3:M10,$A3:$A10)</f>
        <v>41267467857</v>
      </c>
      <c r="N11" s="24">
        <f t="shared" si="4"/>
        <v>0.02230191693</v>
      </c>
      <c r="O11" s="24">
        <f>AVERAGE(FORECAST($A11,O3:O10,$A3:$A10),O10*(AVERAGE(P4:P10)+1))</f>
        <v>0.6037493057</v>
      </c>
      <c r="P11" s="24">
        <f t="shared" si="21"/>
        <v>0.0503458612</v>
      </c>
      <c r="Q11" s="21">
        <f t="shared" si="30"/>
        <v>1117177736200</v>
      </c>
      <c r="R11" s="24">
        <f>FORECAST($A11,R3:R10,$A3:$A10)</f>
        <v>0.0166952575</v>
      </c>
      <c r="S11" s="21">
        <f t="shared" si="6"/>
        <v>18651569979</v>
      </c>
      <c r="T11" s="24">
        <f t="shared" si="7"/>
        <v>0.01007975012</v>
      </c>
      <c r="U11" s="24">
        <f>FORECAST($A11,U3:U10,$A3:$A10)</f>
        <v>0.0425016075</v>
      </c>
      <c r="V11" s="21">
        <f t="shared" si="8"/>
        <v>35559.31711</v>
      </c>
      <c r="W11" s="21">
        <f t="shared" si="9"/>
        <v>34047.98897</v>
      </c>
      <c r="X11" s="37">
        <f>AVERAGE(FORECAST($A11,X3:X10,$A3:$A10),X10*(AVERAGE(Y4:Y10)+1))</f>
        <v>0.9486025117</v>
      </c>
      <c r="Y11" s="31">
        <f t="shared" si="22"/>
        <v>0.005395834571</v>
      </c>
      <c r="Z11" s="38">
        <f>AVERAGE(FORECAST($A11,Z3:Z10,$A3:$A10),Z10*(AVERAGE(AA4:AA10)+1))</f>
        <v>0.3336722593</v>
      </c>
      <c r="AA11" s="31">
        <f t="shared" si="23"/>
        <v>0.001242694773</v>
      </c>
      <c r="AB11" s="37">
        <f t="shared" si="10"/>
        <v>0.6149302523</v>
      </c>
      <c r="AC11" s="27">
        <f t="shared" ref="AC11:AF11" si="31">AC10+($AG11-$AG10)/4</f>
        <v>0.0885075</v>
      </c>
      <c r="AD11" s="27">
        <f t="shared" si="31"/>
        <v>0.1055075</v>
      </c>
      <c r="AE11" s="27">
        <f t="shared" si="31"/>
        <v>0.1115075</v>
      </c>
      <c r="AF11" s="27">
        <f t="shared" si="31"/>
        <v>0.0605075</v>
      </c>
      <c r="AG11" s="24">
        <f t="shared" si="32"/>
        <v>0.36603</v>
      </c>
      <c r="AH11" s="38">
        <f t="shared" si="13"/>
        <v>0.3929687697</v>
      </c>
      <c r="AI11" s="21">
        <f t="shared" si="14"/>
        <v>20937.13845</v>
      </c>
      <c r="AJ11" s="30" t="str">
        <f t="shared" si="15"/>
        <v>B-</v>
      </c>
      <c r="AK11" s="30" t="str">
        <f t="shared" si="16"/>
        <v>0.39B-</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1863312067253</v>
      </c>
      <c r="G12" s="24">
        <f t="shared" si="19"/>
        <v>0.006977968178</v>
      </c>
      <c r="H12" s="22">
        <f>AVERAGE(FORECAST($A12,H3:H11,$A3:$A11),H11*(AVERAGE(I4:I11)+1))</f>
        <v>52063120.95</v>
      </c>
      <c r="I12" s="24">
        <f t="shared" si="20"/>
        <v>0.0005020497572</v>
      </c>
      <c r="J12" s="35">
        <f t="shared" si="2"/>
        <v>0.01419802181</v>
      </c>
      <c r="K12" s="36">
        <f>FORECAST(A12,K3:K11,A3:A11)</f>
        <v>965905785714</v>
      </c>
      <c r="L12" s="21">
        <f t="shared" si="28"/>
        <v>1006538292857</v>
      </c>
      <c r="M12" s="21">
        <f t="shared" ref="M12:M14" si="34">FORECAST($A12,M3:M11,$A3:$A11)</f>
        <v>40632507143</v>
      </c>
      <c r="N12" s="24">
        <f t="shared" si="4"/>
        <v>0.02180660334</v>
      </c>
      <c r="O12" s="24">
        <f>AVERAGE(FORECAST($A12,O3:O11,$A3:$A11),O11*(AVERAGE(P4:P11)+1))</f>
        <v>0.6327864857</v>
      </c>
      <c r="P12" s="24">
        <f t="shared" si="21"/>
        <v>0.04809476347</v>
      </c>
      <c r="Q12" s="21">
        <f t="shared" si="30"/>
        <v>1179078694882</v>
      </c>
      <c r="R12" s="24">
        <f>FORECAST($A12,R3:R11,$A3:$A11)</f>
        <v>0.01605813214</v>
      </c>
      <c r="S12" s="21">
        <f t="shared" si="6"/>
        <v>18933801489</v>
      </c>
      <c r="T12" s="24">
        <f t="shared" si="7"/>
        <v>0.01016136901</v>
      </c>
      <c r="U12" s="24">
        <f>FORECAST($A12,U3:U11,$A3:$A11)</f>
        <v>0.04622269071</v>
      </c>
      <c r="V12" s="21">
        <f t="shared" si="8"/>
        <v>35789.48079</v>
      </c>
      <c r="W12" s="21">
        <f t="shared" si="9"/>
        <v>34135.19469</v>
      </c>
      <c r="X12" s="37">
        <f>AVERAGE(FORECAST($A12,X3:X11,$A3:$A11),X11*(AVERAGE(Y4:Y11)+1))</f>
        <v>0.9532119739</v>
      </c>
      <c r="Y12" s="31">
        <f t="shared" si="22"/>
        <v>0.004859213605</v>
      </c>
      <c r="Z12" s="37">
        <f>AVERAGE(FORECAST($A12,Z3:Z11,$A3:$A11),Z11*(AVERAGE(AA4:AA11)+1))</f>
        <v>0.3341404096</v>
      </c>
      <c r="AA12" s="31">
        <f t="shared" si="23"/>
        <v>0.001401058584</v>
      </c>
      <c r="AB12" s="37">
        <f t="shared" si="10"/>
        <v>0.6190715643</v>
      </c>
      <c r="AC12" s="27">
        <f t="shared" ref="AC12:AF12" si="33">AC11+($AG12-$AG11)/4</f>
        <v>0.093082875</v>
      </c>
      <c r="AD12" s="27">
        <f t="shared" si="33"/>
        <v>0.110082875</v>
      </c>
      <c r="AE12" s="27">
        <f t="shared" si="33"/>
        <v>0.116082875</v>
      </c>
      <c r="AF12" s="27">
        <f t="shared" si="33"/>
        <v>0.065082875</v>
      </c>
      <c r="AG12" s="24">
        <f t="shared" si="32"/>
        <v>0.3843315</v>
      </c>
      <c r="AH12" s="38">
        <f t="shared" si="13"/>
        <v>0.4101747561</v>
      </c>
      <c r="AI12" s="21">
        <f t="shared" si="14"/>
        <v>21132.12837</v>
      </c>
      <c r="AJ12" s="30" t="str">
        <f t="shared" si="15"/>
        <v>B-</v>
      </c>
      <c r="AK12" s="30" t="str">
        <f t="shared" si="16"/>
        <v>0.41B-</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1873723266233</v>
      </c>
      <c r="G13" s="24">
        <f t="shared" si="19"/>
        <v>0.005587469305</v>
      </c>
      <c r="H13" s="22">
        <f>AVERAGE(FORECAST($A13,H3:H12,$A3:$A12),H12*(AVERAGE(I4:I12)+1))</f>
        <v>52097555.05</v>
      </c>
      <c r="I13" s="24">
        <f t="shared" si="20"/>
        <v>0.0006613912702</v>
      </c>
      <c r="J13" s="35">
        <f t="shared" si="2"/>
        <v>0.0137055759</v>
      </c>
      <c r="K13" s="36">
        <f>FORECAST(A13,K3:K12,A3:A12)</f>
        <v>1007899164286</v>
      </c>
      <c r="L13" s="21">
        <f t="shared" si="28"/>
        <v>1047836591567</v>
      </c>
      <c r="M13" s="21">
        <f t="shared" si="34"/>
        <v>39937427282</v>
      </c>
      <c r="N13" s="24">
        <f t="shared" si="4"/>
        <v>0.02131447477</v>
      </c>
      <c r="O13" s="24">
        <f>AVERAGE(FORECAST($A13,O3:O12,$A3:$A12),O12*(AVERAGE(P4:P12)+1))</f>
        <v>0.6620965586</v>
      </c>
      <c r="P13" s="24">
        <f t="shared" si="21"/>
        <v>0.04631905625</v>
      </c>
      <c r="Q13" s="21">
        <f t="shared" si="30"/>
        <v>1240585726283</v>
      </c>
      <c r="R13" s="24">
        <f>FORECAST($A13,R3:R12,$A3:$A12)</f>
        <v>0.01542100679</v>
      </c>
      <c r="S13" s="21">
        <f t="shared" si="6"/>
        <v>19131080903</v>
      </c>
      <c r="T13" s="24">
        <f t="shared" si="7"/>
        <v>0.01021019552</v>
      </c>
      <c r="U13" s="24">
        <f>FORECAST($A13,U3:U12,$A3:$A12)</f>
        <v>0.04994377393</v>
      </c>
      <c r="V13" s="21">
        <f t="shared" si="8"/>
        <v>35965.66604</v>
      </c>
      <c r="W13" s="21">
        <f t="shared" si="9"/>
        <v>34169.40494</v>
      </c>
      <c r="X13" s="37">
        <f>AVERAGE(FORECAST($A13,X3:X12,$A3:$A12),X12*(AVERAGE(Y4:Y12)+1))</f>
        <v>0.9576527009</v>
      </c>
      <c r="Y13" s="31">
        <f t="shared" si="22"/>
        <v>0.004658698266</v>
      </c>
      <c r="Z13" s="37">
        <f>AVERAGE(FORECAST($A13,Z3:Z12,$A3:$A12),Z12*(AVERAGE(AA4:AA12)+1))</f>
        <v>0.334627641</v>
      </c>
      <c r="AA13" s="31">
        <f t="shared" si="23"/>
        <v>0.00145604049</v>
      </c>
      <c r="AB13" s="37">
        <f t="shared" si="10"/>
        <v>0.6230250599</v>
      </c>
      <c r="AC13" s="27">
        <f t="shared" ref="AC13:AF13" si="35">AC12+($AG13-$AG12)/4</f>
        <v>0.09788701875</v>
      </c>
      <c r="AD13" s="27">
        <f t="shared" si="35"/>
        <v>0.1148870188</v>
      </c>
      <c r="AE13" s="27">
        <f t="shared" si="35"/>
        <v>0.1208870188</v>
      </c>
      <c r="AF13" s="27">
        <f t="shared" si="35"/>
        <v>0.06988701875</v>
      </c>
      <c r="AG13" s="24">
        <f t="shared" si="32"/>
        <v>0.403548075</v>
      </c>
      <c r="AH13" s="38">
        <f t="shared" si="13"/>
        <v>0.4283579301</v>
      </c>
      <c r="AI13" s="21">
        <f t="shared" si="14"/>
        <v>21288.39556</v>
      </c>
      <c r="AJ13" s="30" t="str">
        <f t="shared" si="15"/>
        <v>B-</v>
      </c>
      <c r="AK13" s="30" t="str">
        <f t="shared" si="16"/>
        <v>0.43B-</v>
      </c>
    </row>
    <row r="14">
      <c r="A14" s="34">
        <v>2030.0</v>
      </c>
      <c r="B14" s="21">
        <f>AVERAGE(FORECAST($A14,B5:B13,$A5:$A13),B13*(AVERAGE(C6:C13)+1))</f>
        <v>141834754671550</v>
      </c>
      <c r="C14" s="24"/>
      <c r="D14" s="22">
        <f>AVERAGE(FORECAST($A14,D5:D13,$A5:$A13),D13*(AVERAGE(E6:E13)+1))</f>
        <v>8586617399</v>
      </c>
      <c r="E14" s="24"/>
      <c r="F14" s="21">
        <f>AVERAGE(FORECAST($A14,F5:F13,$A5:$A13),F13*(AVERAGE(G6:G13)+1))</f>
        <v>1854459244490</v>
      </c>
      <c r="H14" s="22">
        <f>AVERAGE(FORECAST($A14,H5:H13,$A5:$A13),H13*(AVERAGE(I6:I13)+1))</f>
        <v>52169395.08</v>
      </c>
      <c r="J14" s="35">
        <f t="shared" si="2"/>
        <v>0.01307478727</v>
      </c>
      <c r="K14" s="36">
        <f>FORECAST(A14,K3:K13,A3:A13)</f>
        <v>1049892542857</v>
      </c>
      <c r="L14" s="21">
        <f t="shared" si="28"/>
        <v>1094824381966</v>
      </c>
      <c r="M14" s="21">
        <f t="shared" si="34"/>
        <v>44931839109</v>
      </c>
      <c r="N14" s="24">
        <f t="shared" si="4"/>
        <v>0.02422907877</v>
      </c>
      <c r="O14" s="24">
        <f>AVERAGE(FORECAST($A14,O3:O13,$A3:$A13),O13*(AVERAGE(P4:P13)+1))</f>
        <v>0.6917246131</v>
      </c>
      <c r="Q14" s="21">
        <f t="shared" si="30"/>
        <v>1282775103407</v>
      </c>
      <c r="R14" s="24">
        <f>FORECAST($A14,R3:R13,$A3:$A13)</f>
        <v>0.01478388143</v>
      </c>
      <c r="S14" s="21">
        <f t="shared" si="6"/>
        <v>18964395028</v>
      </c>
      <c r="T14" s="24">
        <f t="shared" si="7"/>
        <v>0.01022637466</v>
      </c>
      <c r="U14" s="24">
        <f>FORECAST($A14,U3:U13,$A3:$A13)</f>
        <v>0.05366485714</v>
      </c>
      <c r="V14" s="21">
        <f t="shared" si="8"/>
        <v>35546.88034</v>
      </c>
      <c r="W14" s="21">
        <f t="shared" si="9"/>
        <v>33639.26209</v>
      </c>
      <c r="X14" s="37">
        <f>AVERAGE(FORECAST($A14,X3:X13,$A3:$A13),X13*(AVERAGE(Y4:Y13)+1))</f>
        <v>0.9620338974</v>
      </c>
      <c r="Z14" s="37">
        <f>AVERAGE(FORECAST($A14,Z3:Z13,$A3:$A13),Z13*(AVERAGE(AA4:AA13)+1))</f>
        <v>0.3351219572</v>
      </c>
      <c r="AB14" s="37">
        <f t="shared" si="10"/>
        <v>0.6269119402</v>
      </c>
      <c r="AC14" s="27">
        <f t="shared" ref="AC14:AF14" si="36">AC13+($AG14-$AG13)/4</f>
        <v>0.1029313697</v>
      </c>
      <c r="AD14" s="27">
        <f t="shared" si="36"/>
        <v>0.1199313697</v>
      </c>
      <c r="AE14" s="27">
        <f t="shared" si="36"/>
        <v>0.1259313697</v>
      </c>
      <c r="AF14" s="27">
        <f t="shared" si="36"/>
        <v>0.07493136969</v>
      </c>
      <c r="AG14" s="24">
        <f t="shared" si="32"/>
        <v>0.4237254788</v>
      </c>
      <c r="AH14" s="38">
        <f t="shared" si="13"/>
        <v>0.4508029701</v>
      </c>
      <c r="AI14" s="21">
        <f t="shared" si="14"/>
        <v>21088.85506</v>
      </c>
      <c r="AJ14" s="30" t="str">
        <f t="shared" si="15"/>
        <v>B-</v>
      </c>
      <c r="AK14" s="30" t="str">
        <f t="shared" si="16"/>
        <v>0.45B-</v>
      </c>
    </row>
    <row r="16">
      <c r="C16" s="45"/>
      <c r="D16" s="45"/>
      <c r="E16" s="45"/>
      <c r="F16" s="45"/>
      <c r="G16" s="45"/>
      <c r="H16" s="45"/>
      <c r="I16" s="45"/>
      <c r="J16" s="45"/>
      <c r="K16" s="45"/>
      <c r="L16" s="45"/>
      <c r="M16" s="45"/>
    </row>
    <row r="17">
      <c r="C17" s="45"/>
      <c r="I17" s="46"/>
      <c r="J17" s="46"/>
      <c r="K17" s="46"/>
    </row>
    <row r="18">
      <c r="C18" s="45"/>
      <c r="I18" s="46"/>
      <c r="J18" s="46"/>
      <c r="K18" s="46"/>
    </row>
    <row r="19">
      <c r="C19" s="45"/>
      <c r="I19" s="46"/>
      <c r="J19" s="46"/>
      <c r="K19" s="46"/>
    </row>
    <row r="20">
      <c r="C20" s="45"/>
      <c r="I20" s="46"/>
      <c r="J20" s="46"/>
      <c r="K20" s="46"/>
    </row>
    <row r="21">
      <c r="C21" s="45"/>
      <c r="I21" s="46"/>
      <c r="J21" s="46"/>
      <c r="K21" s="46"/>
    </row>
    <row r="22">
      <c r="C22" s="45"/>
      <c r="I22" s="46"/>
      <c r="J22" s="46"/>
      <c r="K22" s="46"/>
    </row>
  </sheetData>
  <mergeCells count="1">
    <mergeCell ref="B1:AK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18.38"/>
    <col customWidth="1" min="16" max="16" width="18.5"/>
    <col customWidth="1" min="17" max="17" width="16.75"/>
    <col customWidth="1" min="19" max="19" width="14.38"/>
    <col customWidth="1" min="20" max="20" width="20.5"/>
    <col customWidth="1" min="35" max="35" width="19.88"/>
    <col customWidth="1" min="36" max="36" width="16.88"/>
  </cols>
  <sheetData>
    <row r="1">
      <c r="A1" s="1" t="s">
        <v>88</v>
      </c>
      <c r="B1" s="18" t="s">
        <v>120</v>
      </c>
      <c r="AL1" s="18"/>
      <c r="AM1" s="18"/>
      <c r="AN1" s="18"/>
      <c r="AO1" s="18"/>
      <c r="AP1" s="18"/>
      <c r="AQ1" s="18"/>
    </row>
    <row r="2">
      <c r="A2" s="1" t="s">
        <v>90</v>
      </c>
      <c r="B2" s="1" t="s">
        <v>20</v>
      </c>
      <c r="C2" s="1" t="s">
        <v>91</v>
      </c>
      <c r="D2" s="1" t="s">
        <v>92</v>
      </c>
      <c r="E2" s="1" t="s">
        <v>93</v>
      </c>
      <c r="F2" s="1" t="s">
        <v>19</v>
      </c>
      <c r="G2" s="1" t="s">
        <v>94</v>
      </c>
      <c r="H2" s="1" t="s">
        <v>95</v>
      </c>
      <c r="I2" s="1" t="s">
        <v>96</v>
      </c>
      <c r="J2" s="19" t="s">
        <v>97</v>
      </c>
      <c r="K2" s="1" t="s">
        <v>98</v>
      </c>
      <c r="L2" s="1" t="s">
        <v>99</v>
      </c>
      <c r="M2" s="1" t="s">
        <v>100</v>
      </c>
      <c r="N2" s="19" t="s">
        <v>102</v>
      </c>
      <c r="O2" s="1" t="s">
        <v>103</v>
      </c>
      <c r="P2" s="1" t="s">
        <v>104</v>
      </c>
      <c r="Q2" s="1" t="s">
        <v>105</v>
      </c>
      <c r="R2" s="1" t="s">
        <v>106</v>
      </c>
      <c r="S2" s="1" t="s">
        <v>107</v>
      </c>
      <c r="T2" s="19" t="s">
        <v>108</v>
      </c>
      <c r="U2" s="1" t="s">
        <v>25</v>
      </c>
      <c r="V2" s="1" t="s">
        <v>109</v>
      </c>
      <c r="W2" s="19" t="s">
        <v>5</v>
      </c>
      <c r="X2" s="1" t="s">
        <v>29</v>
      </c>
      <c r="Y2" s="1" t="s">
        <v>110</v>
      </c>
      <c r="Z2" s="1" t="s">
        <v>30</v>
      </c>
      <c r="AA2" s="1" t="s">
        <v>111</v>
      </c>
      <c r="AB2" s="19" t="s">
        <v>9</v>
      </c>
      <c r="AC2" s="1" t="s">
        <v>112</v>
      </c>
      <c r="AD2" s="1" t="s">
        <v>113</v>
      </c>
      <c r="AE2" s="1" t="s">
        <v>114</v>
      </c>
      <c r="AF2" s="1" t="s">
        <v>115</v>
      </c>
      <c r="AG2" s="19" t="s">
        <v>116</v>
      </c>
      <c r="AH2" s="20" t="s">
        <v>117</v>
      </c>
      <c r="AI2" s="20" t="s">
        <v>2</v>
      </c>
      <c r="AJ2" s="1" t="s">
        <v>118</v>
      </c>
      <c r="AK2" s="1" t="s">
        <v>119</v>
      </c>
      <c r="AL2" s="1"/>
      <c r="AM2" s="1"/>
      <c r="AN2" s="1"/>
      <c r="AO2" s="1"/>
      <c r="AP2" s="1"/>
      <c r="AQ2" s="1"/>
    </row>
    <row r="3">
      <c r="A3" s="1">
        <v>2019.0</v>
      </c>
      <c r="B3" s="21">
        <f>87.7*1000000000000</f>
        <v>87700000000000</v>
      </c>
      <c r="C3" s="21"/>
      <c r="D3" s="22">
        <f>7.81*10^9</f>
        <v>7810000000</v>
      </c>
      <c r="E3" s="22"/>
      <c r="F3" s="21">
        <v>1.403496E12</v>
      </c>
      <c r="G3" s="21"/>
      <c r="H3" s="32">
        <v>4.7118501E7</v>
      </c>
      <c r="I3" s="22"/>
      <c r="J3" s="23">
        <f t="shared" ref="J3:J14" si="2">F3/B3</f>
        <v>0.01600337514</v>
      </c>
      <c r="K3" s="21">
        <v>4.447773E11</v>
      </c>
      <c r="L3" s="21">
        <v>4.866703E11</v>
      </c>
      <c r="M3" s="21">
        <f t="shared" ref="M3:M8" si="3">L3-K3</f>
        <v>41893000000</v>
      </c>
      <c r="N3" s="23">
        <f t="shared" ref="N3:N14" si="4">M3/F3</f>
        <v>0.02984903413</v>
      </c>
      <c r="O3" s="31">
        <v>1.1129310099999998</v>
      </c>
      <c r="P3" s="24"/>
      <c r="Q3" s="21">
        <f t="shared" ref="Q3:Q8" si="5">O3*F3</f>
        <v>1561994220811</v>
      </c>
      <c r="R3" s="31">
        <v>0.0</v>
      </c>
      <c r="S3" s="21">
        <f t="shared" ref="S3:S14" si="6">Q3*R3</f>
        <v>0</v>
      </c>
      <c r="T3" s="23">
        <f t="shared" ref="T3:T14" si="7">S3/F3</f>
        <v>0</v>
      </c>
      <c r="U3" s="31">
        <v>0.00699519</v>
      </c>
      <c r="V3" s="21">
        <f t="shared" ref="V3:V14" si="8">F3/H3</f>
        <v>29786.51634</v>
      </c>
      <c r="W3" s="25">
        <f t="shared" ref="W3:W14" si="9">V3*(1-U3)</f>
        <v>29578.154</v>
      </c>
      <c r="X3" s="3">
        <v>0.89</v>
      </c>
      <c r="Y3" s="3"/>
      <c r="Z3" s="41">
        <v>0.34299999999999997</v>
      </c>
      <c r="AA3" s="3"/>
      <c r="AB3" s="26">
        <f t="shared" ref="AB3:AB14" si="10">X3-Z3</f>
        <v>0.547</v>
      </c>
      <c r="AC3" s="27">
        <f t="shared" ref="AC3:AF3" si="1">AC4+($AG3-$AG4)/4</f>
        <v>0.07418459229</v>
      </c>
      <c r="AD3" s="27">
        <f t="shared" si="1"/>
        <v>0.07418459229</v>
      </c>
      <c r="AE3" s="27">
        <f t="shared" si="1"/>
        <v>0.1661845923</v>
      </c>
      <c r="AF3" s="27">
        <f t="shared" si="1"/>
        <v>0.01638459229</v>
      </c>
      <c r="AG3" s="23">
        <f t="shared" ref="AG3:AG8" si="12">AG4*95%</f>
        <v>0.3309383692</v>
      </c>
      <c r="AH3" s="39">
        <f t="shared" ref="AH3:AH14" si="13">AG3+J3+N3-T3</f>
        <v>0.3767907784</v>
      </c>
      <c r="AI3" s="29">
        <f t="shared" ref="AI3:AI14" si="14">W3*AB3</f>
        <v>16179.25024</v>
      </c>
      <c r="AJ3" s="30" t="str">
        <f t="shared" ref="AJ3:AJ14" si="15">IFS(
AI3&lt;=2500,"D-",
AI3&lt;=5000,"D",
AI3&lt;=10000,"D+",
AI3&lt;=12500,"C-",
AI3&lt;=15000,"C",
AI3&lt;=20000,"C+",
AI3&lt;=25000,"B-",
AI3&lt;=30000,"B",
AI3&lt;=35000,"B+",
AI3&lt;=40000,"A-",
AI3&lt;=50000,"A",
AI3&lt;=100000,"A+",
TRUE,"Out of range"
)
</f>
        <v>C+</v>
      </c>
      <c r="AK3" s="30" t="str">
        <f t="shared" ref="AK3:AK14" si="16">CONCAT(ROUND(AH3,2),AJ3)</f>
        <v>0.38C+</v>
      </c>
    </row>
    <row r="4">
      <c r="A4" s="1">
        <v>2020.0</v>
      </c>
      <c r="B4" s="21">
        <f>84.75*1000000000000</f>
        <v>84750000000000</v>
      </c>
      <c r="C4" s="24">
        <f t="shared" ref="C4:C13" si="17">(B4-B3)/B3</f>
        <v>-0.03363740023</v>
      </c>
      <c r="D4" s="22">
        <f>7.89*10^9</f>
        <v>7890000000</v>
      </c>
      <c r="E4" s="24">
        <f t="shared" ref="E4:E13" si="18">(D4-D3)/D3</f>
        <v>0.01024327785</v>
      </c>
      <c r="F4" s="21">
        <v>1.289784E12</v>
      </c>
      <c r="G4" s="24">
        <f t="shared" ref="G4:G13" si="19">(F4-F3)/F3</f>
        <v>-0.08102053729</v>
      </c>
      <c r="H4" s="32">
        <v>4.7359424E7</v>
      </c>
      <c r="I4" s="24">
        <f t="shared" ref="I4:I13" si="20">(H4-H3)/H3</f>
        <v>0.005113129554</v>
      </c>
      <c r="J4" s="23">
        <f t="shared" si="2"/>
        <v>0.01521869027</v>
      </c>
      <c r="K4" s="21">
        <v>3.735872E11</v>
      </c>
      <c r="L4" s="21">
        <v>3.931393E11</v>
      </c>
      <c r="M4" s="21">
        <f t="shared" si="3"/>
        <v>19552100000</v>
      </c>
      <c r="N4" s="23">
        <f t="shared" si="4"/>
        <v>0.01515920495</v>
      </c>
      <c r="O4" s="31">
        <v>1.38955246</v>
      </c>
      <c r="P4" s="24">
        <f t="shared" ref="P4:P13" si="21">(O4-O3)/O3</f>
        <v>0.2485521991</v>
      </c>
      <c r="Q4" s="21">
        <f t="shared" si="5"/>
        <v>1792222530069</v>
      </c>
      <c r="R4" s="31">
        <v>0.0</v>
      </c>
      <c r="S4" s="21">
        <f t="shared" si="6"/>
        <v>0</v>
      </c>
      <c r="T4" s="23">
        <f t="shared" si="7"/>
        <v>0</v>
      </c>
      <c r="U4" s="31">
        <v>-0.00322753</v>
      </c>
      <c r="V4" s="21">
        <f t="shared" si="8"/>
        <v>27233.94609</v>
      </c>
      <c r="W4" s="25">
        <f t="shared" si="9"/>
        <v>27321.84447</v>
      </c>
      <c r="X4" s="3">
        <v>0.9</v>
      </c>
      <c r="Y4" s="31">
        <f t="shared" ref="Y4:Y13" si="22">(X4-X3)/X3</f>
        <v>0.01123595506</v>
      </c>
      <c r="Z4" s="41">
        <v>0.349</v>
      </c>
      <c r="AA4" s="31">
        <f t="shared" ref="AA4:AA13" si="23">(Z4-Z3)/Z4</f>
        <v>0.01719197708</v>
      </c>
      <c r="AB4" s="26">
        <f t="shared" si="10"/>
        <v>0.551</v>
      </c>
      <c r="AC4" s="27">
        <f t="shared" ref="AC4:AF4" si="11">AC5+($AG4-$AG5)/4</f>
        <v>0.07853904452</v>
      </c>
      <c r="AD4" s="27">
        <f t="shared" si="11"/>
        <v>0.07853904452</v>
      </c>
      <c r="AE4" s="27">
        <f t="shared" si="11"/>
        <v>0.1705390445</v>
      </c>
      <c r="AF4" s="27">
        <f t="shared" si="11"/>
        <v>0.02073904452</v>
      </c>
      <c r="AG4" s="23">
        <f t="shared" si="12"/>
        <v>0.3483561781</v>
      </c>
      <c r="AH4" s="39">
        <f t="shared" si="13"/>
        <v>0.3787340733</v>
      </c>
      <c r="AI4" s="29">
        <f t="shared" si="14"/>
        <v>15054.3363</v>
      </c>
      <c r="AJ4" s="30" t="str">
        <f t="shared" si="15"/>
        <v>C+</v>
      </c>
      <c r="AK4" s="30" t="str">
        <f t="shared" si="16"/>
        <v>0.38C+</v>
      </c>
    </row>
    <row r="5">
      <c r="A5" s="1">
        <v>2021.0</v>
      </c>
      <c r="B5" s="21">
        <f>96.14*1000000000000</f>
        <v>96140000000000</v>
      </c>
      <c r="C5" s="24">
        <f t="shared" si="17"/>
        <v>0.1343952802</v>
      </c>
      <c r="D5" s="22">
        <f>7.95*10^9</f>
        <v>7950000000</v>
      </c>
      <c r="E5" s="24">
        <f t="shared" si="18"/>
        <v>0.007604562738</v>
      </c>
      <c r="F5" s="21">
        <v>1.461245E12</v>
      </c>
      <c r="G5" s="24">
        <f t="shared" si="19"/>
        <v>0.1329377632</v>
      </c>
      <c r="H5" s="32">
        <v>4.7443821E7</v>
      </c>
      <c r="I5" s="24">
        <f t="shared" si="20"/>
        <v>0.001782052924</v>
      </c>
      <c r="J5" s="23">
        <f t="shared" si="2"/>
        <v>0.01519913668</v>
      </c>
      <c r="K5" s="21">
        <v>4.788135E11</v>
      </c>
      <c r="L5" s="21">
        <v>4.932737E11</v>
      </c>
      <c r="M5" s="21">
        <f t="shared" si="3"/>
        <v>14460200000</v>
      </c>
      <c r="N5" s="23">
        <f t="shared" si="4"/>
        <v>0.009895808027</v>
      </c>
      <c r="O5" s="31">
        <v>1.3254675900000001</v>
      </c>
      <c r="P5" s="24">
        <f t="shared" si="21"/>
        <v>-0.04611907204</v>
      </c>
      <c r="Q5" s="21">
        <f t="shared" si="5"/>
        <v>1936832888550</v>
      </c>
      <c r="R5" s="31">
        <v>0.0</v>
      </c>
      <c r="S5" s="21">
        <f t="shared" si="6"/>
        <v>0</v>
      </c>
      <c r="T5" s="23">
        <f t="shared" si="7"/>
        <v>0</v>
      </c>
      <c r="U5" s="31">
        <v>0.030931350000000003</v>
      </c>
      <c r="V5" s="21">
        <f t="shared" si="8"/>
        <v>30799.47966</v>
      </c>
      <c r="W5" s="25">
        <f t="shared" si="9"/>
        <v>29846.81018</v>
      </c>
      <c r="X5" s="3">
        <v>0.91</v>
      </c>
      <c r="Y5" s="31">
        <f t="shared" si="22"/>
        <v>0.01111111111</v>
      </c>
      <c r="Z5" s="41">
        <v>0.33899999999999997</v>
      </c>
      <c r="AA5" s="31">
        <f t="shared" si="23"/>
        <v>-0.02949852507</v>
      </c>
      <c r="AB5" s="26">
        <f t="shared" si="10"/>
        <v>0.571</v>
      </c>
      <c r="AC5" s="27">
        <f t="shared" ref="AC5:AF5" si="24">AC6+($AG5-$AG6)/4</f>
        <v>0.08312267844</v>
      </c>
      <c r="AD5" s="27">
        <f t="shared" si="24"/>
        <v>0.08312267844</v>
      </c>
      <c r="AE5" s="27">
        <f t="shared" si="24"/>
        <v>0.1751226784</v>
      </c>
      <c r="AF5" s="27">
        <f t="shared" si="24"/>
        <v>0.02532267844</v>
      </c>
      <c r="AG5" s="23">
        <f t="shared" si="12"/>
        <v>0.3666907138</v>
      </c>
      <c r="AH5" s="39">
        <f t="shared" si="13"/>
        <v>0.3917856585</v>
      </c>
      <c r="AI5" s="29">
        <f t="shared" si="14"/>
        <v>17042.52861</v>
      </c>
      <c r="AJ5" s="30" t="str">
        <f t="shared" si="15"/>
        <v>C+</v>
      </c>
      <c r="AK5" s="30" t="str">
        <f t="shared" si="16"/>
        <v>0.39C+</v>
      </c>
    </row>
    <row r="6">
      <c r="A6" s="1">
        <v>2022.0</v>
      </c>
      <c r="B6" s="21">
        <f>101.56*1000000000000</f>
        <v>101560000000000</v>
      </c>
      <c r="C6" s="24">
        <f t="shared" si="17"/>
        <v>0.05637611816</v>
      </c>
      <c r="D6" s="22">
        <f>8.02*10^9</f>
        <v>8020000000</v>
      </c>
      <c r="E6" s="24">
        <f t="shared" si="18"/>
        <v>0.008805031447</v>
      </c>
      <c r="F6" s="21">
        <v>1.448851E12</v>
      </c>
      <c r="G6" s="24">
        <f t="shared" si="19"/>
        <v>-0.008481808321</v>
      </c>
      <c r="H6" s="32">
        <v>4.7786102E7</v>
      </c>
      <c r="I6" s="24">
        <f t="shared" si="20"/>
        <v>0.007214448432</v>
      </c>
      <c r="J6" s="23">
        <f t="shared" si="2"/>
        <v>0.01426596101</v>
      </c>
      <c r="K6" s="21">
        <v>5.620679E11</v>
      </c>
      <c r="L6" s="21">
        <v>5.747834E11</v>
      </c>
      <c r="M6" s="21">
        <f t="shared" si="3"/>
        <v>12715500000</v>
      </c>
      <c r="N6" s="23">
        <f t="shared" si="4"/>
        <v>0.008776264778</v>
      </c>
      <c r="O6" s="31">
        <v>1.09040623</v>
      </c>
      <c r="P6" s="24">
        <f t="shared" si="21"/>
        <v>-0.1773422163</v>
      </c>
      <c r="Q6" s="21">
        <f t="shared" si="5"/>
        <v>1579836156742</v>
      </c>
      <c r="R6" s="31">
        <v>0.025</v>
      </c>
      <c r="S6" s="21">
        <f t="shared" si="6"/>
        <v>39495903919</v>
      </c>
      <c r="T6" s="23">
        <f t="shared" si="7"/>
        <v>0.02726015575</v>
      </c>
      <c r="U6" s="31">
        <v>0.08390576</v>
      </c>
      <c r="V6" s="21">
        <f t="shared" si="8"/>
        <v>30319.50587</v>
      </c>
      <c r="W6" s="25">
        <f t="shared" si="9"/>
        <v>27775.52469</v>
      </c>
      <c r="X6" s="3">
        <v>0.91</v>
      </c>
      <c r="Y6" s="31">
        <f t="shared" si="22"/>
        <v>0</v>
      </c>
      <c r="Z6" s="41">
        <v>0.336</v>
      </c>
      <c r="AA6" s="31">
        <f t="shared" si="23"/>
        <v>-0.008928571429</v>
      </c>
      <c r="AB6" s="26">
        <f t="shared" si="10"/>
        <v>0.574</v>
      </c>
      <c r="AC6" s="27">
        <f t="shared" ref="AC6:AF6" si="25">AC7+($AG6-$AG7)/4</f>
        <v>0.08794755625</v>
      </c>
      <c r="AD6" s="27">
        <f t="shared" si="25"/>
        <v>0.08794755625</v>
      </c>
      <c r="AE6" s="27">
        <f t="shared" si="25"/>
        <v>0.1799475563</v>
      </c>
      <c r="AF6" s="27">
        <f t="shared" si="25"/>
        <v>0.03014755625</v>
      </c>
      <c r="AG6" s="23">
        <f t="shared" si="12"/>
        <v>0.385990225</v>
      </c>
      <c r="AH6" s="39">
        <f t="shared" si="13"/>
        <v>0.381772295</v>
      </c>
      <c r="AI6" s="29">
        <f t="shared" si="14"/>
        <v>15943.15117</v>
      </c>
      <c r="AJ6" s="30" t="str">
        <f t="shared" si="15"/>
        <v>C+</v>
      </c>
      <c r="AK6" s="30" t="str">
        <f t="shared" si="16"/>
        <v>0.38C+</v>
      </c>
    </row>
    <row r="7">
      <c r="A7" s="1">
        <v>2023.0</v>
      </c>
      <c r="B7" s="21">
        <f>106.8*1000000000000</f>
        <v>106800000000000</v>
      </c>
      <c r="C7" s="24">
        <f t="shared" si="17"/>
        <v>0.05159511619</v>
      </c>
      <c r="D7" s="32">
        <f>8.09*10^9</f>
        <v>8090000000</v>
      </c>
      <c r="E7" s="24">
        <f t="shared" si="18"/>
        <v>0.008728179551</v>
      </c>
      <c r="F7" s="21">
        <v>1.619482E12</v>
      </c>
      <c r="G7" s="24">
        <f t="shared" si="19"/>
        <v>0.1177698742</v>
      </c>
      <c r="H7" s="32">
        <v>4.8352528E7</v>
      </c>
      <c r="I7" s="24">
        <f t="shared" si="20"/>
        <v>0.01185336272</v>
      </c>
      <c r="J7" s="23">
        <f t="shared" si="2"/>
        <v>0.01516368914</v>
      </c>
      <c r="K7" s="21">
        <v>5.50316E11</v>
      </c>
      <c r="L7" s="21">
        <v>6.124338E11</v>
      </c>
      <c r="M7" s="21">
        <f t="shared" si="3"/>
        <v>62117800000</v>
      </c>
      <c r="N7" s="23">
        <f t="shared" si="4"/>
        <v>0.03835658562</v>
      </c>
      <c r="O7" s="31">
        <v>1.07300287</v>
      </c>
      <c r="P7" s="24">
        <f t="shared" si="21"/>
        <v>-0.01596043706</v>
      </c>
      <c r="Q7" s="21">
        <f t="shared" si="5"/>
        <v>1737708833913</v>
      </c>
      <c r="R7" s="31">
        <v>0.045</v>
      </c>
      <c r="S7" s="21">
        <f t="shared" si="6"/>
        <v>78196897526</v>
      </c>
      <c r="T7" s="23">
        <f t="shared" si="7"/>
        <v>0.04828512915</v>
      </c>
      <c r="U7" s="31">
        <v>0.03532361</v>
      </c>
      <c r="V7" s="21">
        <f t="shared" si="8"/>
        <v>33493.22294</v>
      </c>
      <c r="W7" s="25">
        <f t="shared" si="9"/>
        <v>32310.12139</v>
      </c>
      <c r="X7" s="3">
        <v>0.92</v>
      </c>
      <c r="Y7" s="31">
        <f t="shared" si="22"/>
        <v>0.01098901099</v>
      </c>
      <c r="Z7" s="41">
        <v>0.33399999999999996</v>
      </c>
      <c r="AA7" s="31">
        <f t="shared" si="23"/>
        <v>-0.005988023952</v>
      </c>
      <c r="AB7" s="26">
        <f t="shared" si="10"/>
        <v>0.586</v>
      </c>
      <c r="AC7" s="27">
        <f t="shared" ref="AC7:AF7" si="26">AC8+($AG7-$AG8)/4</f>
        <v>0.093026375</v>
      </c>
      <c r="AD7" s="27">
        <f t="shared" si="26"/>
        <v>0.093026375</v>
      </c>
      <c r="AE7" s="27">
        <f t="shared" si="26"/>
        <v>0.185026375</v>
      </c>
      <c r="AF7" s="27">
        <f t="shared" si="26"/>
        <v>0.035226375</v>
      </c>
      <c r="AG7" s="23">
        <f t="shared" si="12"/>
        <v>0.4063055</v>
      </c>
      <c r="AH7" s="39">
        <f t="shared" si="13"/>
        <v>0.4115406456</v>
      </c>
      <c r="AI7" s="29">
        <f t="shared" si="14"/>
        <v>18933.73114</v>
      </c>
      <c r="AJ7" s="30" t="str">
        <f t="shared" si="15"/>
        <v>C+</v>
      </c>
      <c r="AK7" s="30" t="str">
        <f t="shared" si="16"/>
        <v>0.41C+</v>
      </c>
    </row>
    <row r="8">
      <c r="A8" s="1">
        <v>2024.0</v>
      </c>
      <c r="B8" s="21">
        <f>112.6*1000000000000</f>
        <v>112600000000000</v>
      </c>
      <c r="C8" s="24">
        <f t="shared" si="17"/>
        <v>0.0543071161</v>
      </c>
      <c r="D8" s="32">
        <v>8.161972572E9</v>
      </c>
      <c r="E8" s="24">
        <f t="shared" si="18"/>
        <v>0.008896486032</v>
      </c>
      <c r="F8" s="21">
        <v>1.725672E12</v>
      </c>
      <c r="G8" s="24">
        <f t="shared" si="19"/>
        <v>0.06557034904</v>
      </c>
      <c r="H8" s="32">
        <v>4.884884E7</v>
      </c>
      <c r="I8" s="24">
        <f t="shared" si="20"/>
        <v>0.01026444781</v>
      </c>
      <c r="J8" s="23">
        <f t="shared" si="2"/>
        <v>0.01532568384</v>
      </c>
      <c r="K8" s="21">
        <v>5.67649E11</v>
      </c>
      <c r="L8" s="21">
        <v>6.394628E11</v>
      </c>
      <c r="M8" s="21">
        <f t="shared" si="3"/>
        <v>71813800000</v>
      </c>
      <c r="N8" s="23">
        <f t="shared" si="4"/>
        <v>0.04161497666</v>
      </c>
      <c r="O8" s="31">
        <f>AVERAGE(O7,O9)</f>
        <v>1.058501435</v>
      </c>
      <c r="P8" s="24">
        <f t="shared" si="21"/>
        <v>-0.01351481474</v>
      </c>
      <c r="Q8" s="21">
        <f t="shared" si="5"/>
        <v>1826626288339</v>
      </c>
      <c r="R8" s="31">
        <v>0.0315</v>
      </c>
      <c r="S8" s="21">
        <f t="shared" si="6"/>
        <v>57538728083</v>
      </c>
      <c r="T8" s="23">
        <f t="shared" si="7"/>
        <v>0.0333427952</v>
      </c>
      <c r="U8" s="31">
        <v>0.02774178</v>
      </c>
      <c r="V8" s="21">
        <f t="shared" si="8"/>
        <v>35326.77542</v>
      </c>
      <c r="W8" s="25">
        <f t="shared" si="9"/>
        <v>34346.74778</v>
      </c>
      <c r="X8" s="3">
        <v>0.92</v>
      </c>
      <c r="Y8" s="31">
        <f t="shared" si="22"/>
        <v>0</v>
      </c>
      <c r="Z8" s="41">
        <f>AVERAGE(Z7,Z9)</f>
        <v>0.323</v>
      </c>
      <c r="AA8" s="31">
        <f t="shared" si="23"/>
        <v>-0.03405572755</v>
      </c>
      <c r="AB8" s="26">
        <f t="shared" si="10"/>
        <v>0.597</v>
      </c>
      <c r="AC8" s="27">
        <f t="shared" ref="AC8:AF8" si="27">AC9+($AG8-$AG9)/4</f>
        <v>0.0983725</v>
      </c>
      <c r="AD8" s="27">
        <f t="shared" si="27"/>
        <v>0.0983725</v>
      </c>
      <c r="AE8" s="27">
        <f t="shared" si="27"/>
        <v>0.1903725</v>
      </c>
      <c r="AF8" s="27">
        <f t="shared" si="27"/>
        <v>0.0405725</v>
      </c>
      <c r="AG8" s="23">
        <f t="shared" si="12"/>
        <v>0.42769</v>
      </c>
      <c r="AH8" s="39">
        <f t="shared" si="13"/>
        <v>0.4512878653</v>
      </c>
      <c r="AI8" s="29">
        <f t="shared" si="14"/>
        <v>20505.00843</v>
      </c>
      <c r="AJ8" s="30" t="str">
        <f t="shared" si="15"/>
        <v>B-</v>
      </c>
      <c r="AK8" s="30" t="str">
        <f t="shared" si="16"/>
        <v>0.45B-</v>
      </c>
    </row>
    <row r="9">
      <c r="A9" s="1">
        <v>2025.0</v>
      </c>
      <c r="B9" s="33">
        <v>1.13795678E14</v>
      </c>
      <c r="C9" s="24">
        <f t="shared" si="17"/>
        <v>0.01061880995</v>
      </c>
      <c r="D9" s="32">
        <v>8.23161307E9</v>
      </c>
      <c r="E9" s="24">
        <f t="shared" si="18"/>
        <v>0.008532312181</v>
      </c>
      <c r="F9" s="33">
        <v>1.8E12</v>
      </c>
      <c r="G9" s="24">
        <f t="shared" si="19"/>
        <v>0.04307191633</v>
      </c>
      <c r="H9" s="32">
        <v>4.92E7</v>
      </c>
      <c r="I9" s="24">
        <f t="shared" si="20"/>
        <v>0.00718870704</v>
      </c>
      <c r="J9" s="23">
        <f t="shared" si="2"/>
        <v>0.01581782394</v>
      </c>
      <c r="K9" s="33">
        <f>1168000000000/2</f>
        <v>584000000000</v>
      </c>
      <c r="L9" s="21">
        <f t="shared" ref="L9:L14" si="28">K9+M9</f>
        <v>648000000000</v>
      </c>
      <c r="M9" s="33">
        <v>6.4E10</v>
      </c>
      <c r="N9" s="23">
        <f t="shared" si="4"/>
        <v>0.03555555556</v>
      </c>
      <c r="O9" s="24">
        <f>Q9/F9</f>
        <v>1.044</v>
      </c>
      <c r="P9" s="24">
        <f t="shared" si="21"/>
        <v>-0.01369996726</v>
      </c>
      <c r="Q9" s="33">
        <v>1.8792E12</v>
      </c>
      <c r="R9" s="31">
        <v>0.0215</v>
      </c>
      <c r="S9" s="21">
        <f t="shared" si="6"/>
        <v>40402800000</v>
      </c>
      <c r="T9" s="23">
        <f t="shared" si="7"/>
        <v>0.022446</v>
      </c>
      <c r="U9" s="31">
        <v>0.0277</v>
      </c>
      <c r="V9" s="21">
        <f t="shared" si="8"/>
        <v>36585.36585</v>
      </c>
      <c r="W9" s="25">
        <f t="shared" si="9"/>
        <v>35571.95122</v>
      </c>
      <c r="X9" s="43">
        <v>0.918</v>
      </c>
      <c r="Y9" s="31">
        <f t="shared" si="22"/>
        <v>-0.002173913043</v>
      </c>
      <c r="Z9" s="41">
        <v>0.312</v>
      </c>
      <c r="AA9" s="31">
        <f t="shared" si="23"/>
        <v>-0.03525641026</v>
      </c>
      <c r="AB9" s="26">
        <f t="shared" si="10"/>
        <v>0.606</v>
      </c>
      <c r="AC9" s="31">
        <v>0.104</v>
      </c>
      <c r="AD9" s="31">
        <v>0.104</v>
      </c>
      <c r="AE9" s="31">
        <v>0.196</v>
      </c>
      <c r="AF9" s="31">
        <v>0.0462</v>
      </c>
      <c r="AG9" s="23">
        <f>SUM(AC9:AF9)</f>
        <v>0.4502</v>
      </c>
      <c r="AH9" s="39">
        <f t="shared" si="13"/>
        <v>0.4791273795</v>
      </c>
      <c r="AI9" s="29">
        <f t="shared" si="14"/>
        <v>21556.60244</v>
      </c>
      <c r="AJ9" s="30" t="str">
        <f t="shared" si="15"/>
        <v>B-</v>
      </c>
      <c r="AK9" s="30" t="str">
        <f t="shared" si="16"/>
        <v>0.48B-</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1866766776434</v>
      </c>
      <c r="G10" s="24">
        <f t="shared" si="19"/>
        <v>0.03709265357</v>
      </c>
      <c r="H10" s="22">
        <f>AVERAGE(FORECAST(A10,H3:H9,$A$3:$A$9),H9*(AVERAGE(I4:I9)+1))</f>
        <v>49509524.21</v>
      </c>
      <c r="I10" s="24">
        <f t="shared" si="20"/>
        <v>0.006291142454</v>
      </c>
      <c r="J10" s="35">
        <f t="shared" si="2"/>
        <v>0.01554812204</v>
      </c>
      <c r="K10" s="36">
        <f>FORECAST(A10,K3:K9,A3:A9)</f>
        <v>634072157143</v>
      </c>
      <c r="L10" s="36">
        <f t="shared" si="28"/>
        <v>706222785714</v>
      </c>
      <c r="M10" s="21">
        <f>FORECAST(A10,M3:M9,$A$3:$A$9)</f>
        <v>72150628571</v>
      </c>
      <c r="N10" s="24">
        <f t="shared" si="4"/>
        <v>0.03865004964</v>
      </c>
      <c r="O10" s="24">
        <f>AVERAGE(FORECAST(A10,O3:O9,$A$3:$A$9),O9*(AVERAGE(P4:P9)+1))</f>
        <v>1.018462508</v>
      </c>
      <c r="P10" s="24">
        <f t="shared" si="21"/>
        <v>-0.02446119954</v>
      </c>
      <c r="Q10" s="21">
        <f t="shared" ref="Q10:Q14" si="30">O10*F10</f>
        <v>1901231972387</v>
      </c>
      <c r="R10" s="24">
        <f>FORECAST(A10,R3:R9,$A$3:$A$9)</f>
        <v>0.04221428571</v>
      </c>
      <c r="S10" s="21">
        <f t="shared" si="6"/>
        <v>80259149692</v>
      </c>
      <c r="T10" s="24">
        <f t="shared" si="7"/>
        <v>0.04299366729</v>
      </c>
      <c r="U10" s="24">
        <f>FORECAST(A10,U3:U9,$A$3:$A$9)</f>
        <v>0.04825935286</v>
      </c>
      <c r="V10" s="21">
        <f t="shared" si="8"/>
        <v>37705.20534</v>
      </c>
      <c r="W10" s="21">
        <f t="shared" si="9"/>
        <v>35885.57653</v>
      </c>
      <c r="X10" s="37">
        <f>AVERAGE(FORECAST(A10,X3:X9,$A$3:$A$9),X9*(AVERAGE(Y4:Y9)+1))</f>
        <v>0.925812477</v>
      </c>
      <c r="Y10" s="31">
        <f t="shared" si="22"/>
        <v>0.008510323511</v>
      </c>
      <c r="Z10" s="38">
        <f>AVERAGE(FORECAST(A10,Z3:Z9,$A$3:$A$9),Z9*(AVERAGE(AA4:AA9)+1))</f>
        <v>0.3096329398</v>
      </c>
      <c r="AA10" s="31">
        <f t="shared" si="23"/>
        <v>-0.007644729819</v>
      </c>
      <c r="AB10" s="37">
        <f t="shared" si="10"/>
        <v>0.6161795372</v>
      </c>
      <c r="AC10" s="27">
        <f t="shared" ref="AC10:AF10" si="29">AC9+($AG10-$AG9)/4</f>
        <v>0.1096275</v>
      </c>
      <c r="AD10" s="27">
        <f t="shared" si="29"/>
        <v>0.1096275</v>
      </c>
      <c r="AE10" s="27">
        <f t="shared" si="29"/>
        <v>0.2016275</v>
      </c>
      <c r="AF10" s="27">
        <f t="shared" si="29"/>
        <v>0.0518275</v>
      </c>
      <c r="AG10" s="24">
        <f t="shared" ref="AG10:AG14" si="32">AG9*1.05</f>
        <v>0.47271</v>
      </c>
      <c r="AH10" s="38">
        <f t="shared" si="13"/>
        <v>0.4839145044</v>
      </c>
      <c r="AI10" s="21">
        <f t="shared" si="14"/>
        <v>22111.95794</v>
      </c>
      <c r="AJ10" s="30" t="str">
        <f t="shared" si="15"/>
        <v>B-</v>
      </c>
      <c r="AK10" s="30" t="str">
        <f t="shared" si="16"/>
        <v>0.48B-</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1943781835025</v>
      </c>
      <c r="G11" s="24">
        <f t="shared" si="19"/>
        <v>0.04125585454</v>
      </c>
      <c r="H11" s="22">
        <f>AVERAGE(FORECAST($A11,H3:H10,$A3:$A10),H10*(AVERAGE(I4:I10)+1))</f>
        <v>49854615.97</v>
      </c>
      <c r="I11" s="24">
        <f t="shared" si="20"/>
        <v>0.006970209513</v>
      </c>
      <c r="J11" s="35">
        <f t="shared" si="2"/>
        <v>0.01545928705</v>
      </c>
      <c r="K11" s="36">
        <f>FORECAST(A11,K3:K10,A3:A10)</f>
        <v>665404092857</v>
      </c>
      <c r="L11" s="21">
        <f t="shared" si="28"/>
        <v>745358364286</v>
      </c>
      <c r="M11" s="21">
        <f>FORECAST($A11,M3:M10,$A3:$A10)</f>
        <v>79954271429</v>
      </c>
      <c r="N11" s="24">
        <f t="shared" si="4"/>
        <v>0.04113335663</v>
      </c>
      <c r="O11" s="24">
        <f>AVERAGE(FORECAST($A11,O3:O10,$A3:$A10),O10*(AVERAGE(P4:P10)+1))</f>
        <v>0.9897454481</v>
      </c>
      <c r="P11" s="24">
        <f t="shared" si="21"/>
        <v>-0.0281964818</v>
      </c>
      <c r="Q11" s="21">
        <f t="shared" si="30"/>
        <v>1923849223349</v>
      </c>
      <c r="R11" s="24">
        <f>FORECAST($A11,R3:R10,$A3:$A10)</f>
        <v>0.048375</v>
      </c>
      <c r="S11" s="21">
        <f t="shared" si="6"/>
        <v>93066206179</v>
      </c>
      <c r="T11" s="24">
        <f t="shared" si="7"/>
        <v>0.04787893605</v>
      </c>
      <c r="U11" s="24">
        <f>FORECAST($A11,U3:U10,$A3:$A10)</f>
        <v>0.05284668536</v>
      </c>
      <c r="V11" s="21">
        <f t="shared" si="8"/>
        <v>38989.00428</v>
      </c>
      <c r="W11" s="21">
        <f t="shared" si="9"/>
        <v>36928.56463</v>
      </c>
      <c r="X11" s="37">
        <f>AVERAGE(FORECAST($A11,X3:X10,$A3:$A10),X10*(AVERAGE(Y4:Y10)+1))</f>
        <v>0.9315900209</v>
      </c>
      <c r="Y11" s="31">
        <f t="shared" si="22"/>
        <v>0.006240512029</v>
      </c>
      <c r="Z11" s="38">
        <f>AVERAGE(FORECAST($A11,Z3:Z10,$A3:$A10),Z10*(AVERAGE(AA4:AA10)+1))</f>
        <v>0.3053134504</v>
      </c>
      <c r="AA11" s="31">
        <f t="shared" si="23"/>
        <v>-0.01414772084</v>
      </c>
      <c r="AB11" s="37">
        <f t="shared" si="10"/>
        <v>0.6262765705</v>
      </c>
      <c r="AC11" s="27">
        <f t="shared" ref="AC11:AF11" si="31">AC10+($AG11-$AG10)/4</f>
        <v>0.115536375</v>
      </c>
      <c r="AD11" s="27">
        <f t="shared" si="31"/>
        <v>0.115536375</v>
      </c>
      <c r="AE11" s="27">
        <f t="shared" si="31"/>
        <v>0.207536375</v>
      </c>
      <c r="AF11" s="27">
        <f t="shared" si="31"/>
        <v>0.057736375</v>
      </c>
      <c r="AG11" s="24">
        <f t="shared" si="32"/>
        <v>0.4963455</v>
      </c>
      <c r="AH11" s="38">
        <f t="shared" si="13"/>
        <v>0.5050592076</v>
      </c>
      <c r="AI11" s="21">
        <f t="shared" si="14"/>
        <v>23127.49481</v>
      </c>
      <c r="AJ11" s="30" t="str">
        <f t="shared" si="15"/>
        <v>B-</v>
      </c>
      <c r="AK11" s="30" t="str">
        <f t="shared" si="16"/>
        <v>0.51B-</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2024963970213</v>
      </c>
      <c r="G12" s="24">
        <f t="shared" si="19"/>
        <v>0.04176504468</v>
      </c>
      <c r="H12" s="22">
        <f>AVERAGE(FORECAST($A12,H3:H11,$A3:$A11),H11*(AVERAGE(I4:I11)+1))</f>
        <v>50212285.09</v>
      </c>
      <c r="I12" s="24">
        <f t="shared" si="20"/>
        <v>0.007174242905</v>
      </c>
      <c r="J12" s="35">
        <f t="shared" si="2"/>
        <v>0.01542977321</v>
      </c>
      <c r="K12" s="36">
        <f>FORECAST(A12,K3:K11,A3:A11)</f>
        <v>696736028571</v>
      </c>
      <c r="L12" s="21">
        <f t="shared" si="28"/>
        <v>784493942857</v>
      </c>
      <c r="M12" s="21">
        <f t="shared" ref="M12:M14" si="34">FORECAST($A12,M3:M11,$A3:$A11)</f>
        <v>87757914286</v>
      </c>
      <c r="N12" s="24">
        <f t="shared" si="4"/>
        <v>0.04333801271</v>
      </c>
      <c r="O12" s="24">
        <f>AVERAGE(FORECAST($A12,O3:O11,$A3:$A11),O11*(AVERAGE(P4:P11)+1))</f>
        <v>0.9600206051</v>
      </c>
      <c r="P12" s="24">
        <f t="shared" si="21"/>
        <v>-0.03003281609</v>
      </c>
      <c r="Q12" s="21">
        <f t="shared" si="30"/>
        <v>1944007135989</v>
      </c>
      <c r="R12" s="24">
        <f>FORECAST($A12,R3:R11,$A3:$A11)</f>
        <v>0.05453571429</v>
      </c>
      <c r="S12" s="21">
        <f t="shared" si="6"/>
        <v>106017817738</v>
      </c>
      <c r="T12" s="24">
        <f t="shared" si="7"/>
        <v>0.05235540943</v>
      </c>
      <c r="U12" s="24">
        <f>FORECAST($A12,U3:U11,$A3:$A11)</f>
        <v>0.05743401786</v>
      </c>
      <c r="V12" s="21">
        <f t="shared" si="8"/>
        <v>40328.05849</v>
      </c>
      <c r="W12" s="21">
        <f t="shared" si="9"/>
        <v>38011.85606</v>
      </c>
      <c r="X12" s="37">
        <f>AVERAGE(FORECAST($A12,X3:X11,$A3:$A11),X11*(AVERAGE(Y4:Y11)+1))</f>
        <v>0.9366766348</v>
      </c>
      <c r="Y12" s="31">
        <f t="shared" si="22"/>
        <v>0.005460142073</v>
      </c>
      <c r="Z12" s="37">
        <f>AVERAGE(FORECAST($A12,Z3:Z11,$A3:$A11),Z11*(AVERAGE(AA4:AA11)+1))</f>
        <v>0.30034661</v>
      </c>
      <c r="AA12" s="31">
        <f t="shared" si="23"/>
        <v>-0.0165370282</v>
      </c>
      <c r="AB12" s="37">
        <f t="shared" si="10"/>
        <v>0.6363300247</v>
      </c>
      <c r="AC12" s="27">
        <f t="shared" ref="AC12:AF12" si="33">AC11+($AG12-$AG11)/4</f>
        <v>0.1217406938</v>
      </c>
      <c r="AD12" s="27">
        <f t="shared" si="33"/>
        <v>0.1217406938</v>
      </c>
      <c r="AE12" s="27">
        <f t="shared" si="33"/>
        <v>0.2137406938</v>
      </c>
      <c r="AF12" s="27">
        <f t="shared" si="33"/>
        <v>0.06394069375</v>
      </c>
      <c r="AG12" s="24">
        <f t="shared" si="32"/>
        <v>0.521162775</v>
      </c>
      <c r="AH12" s="38">
        <f t="shared" si="13"/>
        <v>0.5275751515</v>
      </c>
      <c r="AI12" s="21">
        <f t="shared" si="14"/>
        <v>24188.08531</v>
      </c>
      <c r="AJ12" s="30" t="str">
        <f t="shared" si="15"/>
        <v>B-</v>
      </c>
      <c r="AK12" s="30" t="str">
        <f t="shared" si="16"/>
        <v>0.53B-</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2108194666149</v>
      </c>
      <c r="G13" s="24">
        <f t="shared" si="19"/>
        <v>0.04110230955</v>
      </c>
      <c r="H13" s="22">
        <f>AVERAGE(FORECAST($A13,H3:H12,$A3:$A12),H12*(AVERAGE(I4:I12)+1))</f>
        <v>50574825.65</v>
      </c>
      <c r="I13" s="24">
        <f t="shared" si="20"/>
        <v>0.007220156535</v>
      </c>
      <c r="J13" s="35">
        <f t="shared" si="2"/>
        <v>0.01542064537</v>
      </c>
      <c r="K13" s="36">
        <f>FORECAST(A13,K3:K12,A3:A12)</f>
        <v>728067964286</v>
      </c>
      <c r="L13" s="21">
        <f t="shared" si="28"/>
        <v>831075259921</v>
      </c>
      <c r="M13" s="21">
        <f t="shared" si="34"/>
        <v>103007295635</v>
      </c>
      <c r="N13" s="24">
        <f t="shared" si="4"/>
        <v>0.04886042892</v>
      </c>
      <c r="O13" s="24">
        <f>AVERAGE(FORECAST($A13,O3:O12,$A3:$A12),O12*(AVERAGE(P4:P12)+1))</f>
        <v>0.9300135676</v>
      </c>
      <c r="P13" s="24">
        <f t="shared" si="21"/>
        <v>-0.03125665983</v>
      </c>
      <c r="Q13" s="21">
        <f t="shared" si="30"/>
        <v>1960649642700</v>
      </c>
      <c r="R13" s="24">
        <f>FORECAST($A13,R3:R12,$A3:$A12)</f>
        <v>0.06069642857</v>
      </c>
      <c r="S13" s="21">
        <f t="shared" si="6"/>
        <v>119004430992</v>
      </c>
      <c r="T13" s="24">
        <f t="shared" si="7"/>
        <v>0.05644850208</v>
      </c>
      <c r="U13" s="24">
        <f>FORECAST($A13,U3:U12,$A3:$A12)</f>
        <v>0.06202135036</v>
      </c>
      <c r="V13" s="21">
        <f t="shared" si="8"/>
        <v>41684.66503</v>
      </c>
      <c r="W13" s="21">
        <f t="shared" si="9"/>
        <v>39099.32582</v>
      </c>
      <c r="X13" s="37">
        <f>AVERAGE(FORECAST($A13,X3:X12,$A3:$A12),X12*(AVERAGE(Y4:Y12)+1))</f>
        <v>0.9415203126</v>
      </c>
      <c r="Y13" s="31">
        <f t="shared" si="22"/>
        <v>0.005171131283</v>
      </c>
      <c r="Z13" s="37">
        <f>AVERAGE(FORECAST($A13,Z3:Z12,$A3:$A12),Z12*(AVERAGE(AA4:AA12)+1))</f>
        <v>0.2951622511</v>
      </c>
      <c r="AA13" s="31">
        <f t="shared" si="23"/>
        <v>-0.01756443758</v>
      </c>
      <c r="AB13" s="37">
        <f t="shared" si="10"/>
        <v>0.6463580615</v>
      </c>
      <c r="AC13" s="27">
        <f t="shared" ref="AC13:AF13" si="35">AC12+($AG13-$AG12)/4</f>
        <v>0.1282552284</v>
      </c>
      <c r="AD13" s="27">
        <f t="shared" si="35"/>
        <v>0.1282552284</v>
      </c>
      <c r="AE13" s="27">
        <f t="shared" si="35"/>
        <v>0.2202552284</v>
      </c>
      <c r="AF13" s="27">
        <f t="shared" si="35"/>
        <v>0.07045522844</v>
      </c>
      <c r="AG13" s="24">
        <f t="shared" si="32"/>
        <v>0.5472209138</v>
      </c>
      <c r="AH13" s="38">
        <f t="shared" si="13"/>
        <v>0.555053486</v>
      </c>
      <c r="AI13" s="21">
        <f t="shared" si="14"/>
        <v>25272.16444</v>
      </c>
      <c r="AJ13" s="30" t="str">
        <f t="shared" si="15"/>
        <v>B</v>
      </c>
      <c r="AK13" s="30" t="str">
        <f t="shared" si="16"/>
        <v>0.56B</v>
      </c>
    </row>
    <row r="14">
      <c r="A14" s="34">
        <v>2030.0</v>
      </c>
      <c r="B14" s="21">
        <f>AVERAGE(FORECAST($A14,B5:B13,$A5:$A13),B13*(AVERAGE(C6:C13)+1))</f>
        <v>141834754671550</v>
      </c>
      <c r="C14" s="24"/>
      <c r="D14" s="22">
        <f>AVERAGE(FORECAST($A14,D5:D13,$A5:$A13),D13*(AVERAGE(E6:E13)+1))</f>
        <v>8586617399</v>
      </c>
      <c r="E14" s="24"/>
      <c r="F14" s="21">
        <f>AVERAGE(FORECAST($A14,F5:F13,$A5:$A13),F13*(AVERAGE(G6:G13)+1))</f>
        <v>2205628416131</v>
      </c>
      <c r="H14" s="22">
        <f>AVERAGE(FORECAST($A14,H5:H13,$A5:$A13),H13*(AVERAGE(I6:I13)+1))</f>
        <v>51011554.77</v>
      </c>
      <c r="J14" s="35">
        <f t="shared" si="2"/>
        <v>0.01555069081</v>
      </c>
      <c r="K14" s="36">
        <f>FORECAST(A14,K3:K13,A3:A13)</f>
        <v>759399900000</v>
      </c>
      <c r="L14" s="21">
        <f t="shared" si="28"/>
        <v>873785617504</v>
      </c>
      <c r="M14" s="21">
        <f t="shared" si="34"/>
        <v>114385717504</v>
      </c>
      <c r="N14" s="24">
        <f t="shared" si="4"/>
        <v>0.05186082872</v>
      </c>
      <c r="O14" s="24">
        <f>AVERAGE(FORECAST($A14,O3:O13,$A3:$A13),O13*(AVERAGE(P4:P13)+1))</f>
        <v>0.8999781811</v>
      </c>
      <c r="Q14" s="21">
        <f t="shared" si="30"/>
        <v>1985017450169</v>
      </c>
      <c r="R14" s="24">
        <f>FORECAST($A14,R3:R13,$A3:$A13)</f>
        <v>0.06685714286</v>
      </c>
      <c r="S14" s="21">
        <f t="shared" si="6"/>
        <v>132712595240</v>
      </c>
      <c r="T14" s="24">
        <f t="shared" si="7"/>
        <v>0.06016996982</v>
      </c>
      <c r="U14" s="24">
        <f>FORECAST($A14,U3:U13,$A3:$A13)</f>
        <v>0.06660868286</v>
      </c>
      <c r="V14" s="21">
        <f t="shared" si="8"/>
        <v>43237.81987</v>
      </c>
      <c r="W14" s="21">
        <f t="shared" si="9"/>
        <v>40357.80563</v>
      </c>
      <c r="X14" s="37">
        <f>AVERAGE(FORECAST($A14,X3:X13,$A3:$A13),X13*(AVERAGE(Y4:Y13)+1))</f>
        <v>0.9462775498</v>
      </c>
      <c r="Z14" s="37">
        <f>AVERAGE(FORECAST($A14,Z3:Z13,$A3:$A13),Z13*(AVERAGE(AA4:AA13)+1))</f>
        <v>0.2899087222</v>
      </c>
      <c r="AB14" s="37">
        <f t="shared" si="10"/>
        <v>0.6563688275</v>
      </c>
      <c r="AC14" s="27">
        <f t="shared" ref="AC14:AF14" si="36">AC13+($AG14-$AG13)/4</f>
        <v>0.1350954899</v>
      </c>
      <c r="AD14" s="27">
        <f t="shared" si="36"/>
        <v>0.1350954899</v>
      </c>
      <c r="AE14" s="27">
        <f t="shared" si="36"/>
        <v>0.2270954899</v>
      </c>
      <c r="AF14" s="27">
        <f t="shared" si="36"/>
        <v>0.07729548986</v>
      </c>
      <c r="AG14" s="24">
        <f t="shared" si="32"/>
        <v>0.5745819594</v>
      </c>
      <c r="AH14" s="38">
        <f t="shared" si="13"/>
        <v>0.5818235091</v>
      </c>
      <c r="AI14" s="21">
        <f t="shared" si="14"/>
        <v>26489.60557</v>
      </c>
      <c r="AJ14" s="30" t="str">
        <f t="shared" si="15"/>
        <v>B</v>
      </c>
      <c r="AK14" s="30" t="str">
        <f t="shared" si="16"/>
        <v>0.58B</v>
      </c>
    </row>
    <row r="16">
      <c r="C16" s="45"/>
      <c r="D16" s="45"/>
      <c r="E16" s="45"/>
      <c r="F16" s="45"/>
      <c r="G16" s="45"/>
      <c r="H16" s="45"/>
      <c r="I16" s="45"/>
      <c r="J16" s="45"/>
      <c r="K16" s="45"/>
      <c r="L16" s="45"/>
      <c r="M16" s="45"/>
    </row>
    <row r="17">
      <c r="C17" s="45"/>
      <c r="I17" s="46"/>
      <c r="J17" s="46"/>
      <c r="K17" s="46"/>
    </row>
    <row r="18">
      <c r="C18" s="45"/>
      <c r="D18" s="45"/>
      <c r="E18" s="45"/>
      <c r="F18" s="45"/>
      <c r="G18" s="45"/>
      <c r="H18" s="45"/>
      <c r="I18" s="47"/>
      <c r="J18" s="47"/>
      <c r="K18" s="47"/>
      <c r="L18" s="45"/>
      <c r="M18" s="45"/>
    </row>
    <row r="19">
      <c r="C19" s="45"/>
      <c r="D19" s="45"/>
      <c r="I19" s="46"/>
      <c r="J19" s="46"/>
      <c r="K19" s="46"/>
    </row>
    <row r="20">
      <c r="C20" s="45"/>
      <c r="D20" s="45"/>
      <c r="I20" s="46"/>
      <c r="J20" s="46"/>
      <c r="K20" s="46"/>
    </row>
    <row r="21">
      <c r="C21" s="45"/>
      <c r="D21" s="45"/>
      <c r="I21" s="46"/>
      <c r="J21" s="46"/>
      <c r="K21" s="46"/>
    </row>
    <row r="22">
      <c r="C22" s="45"/>
      <c r="D22" s="45"/>
      <c r="I22" s="46"/>
      <c r="J22" s="46"/>
      <c r="K22" s="46"/>
    </row>
    <row r="23">
      <c r="D23" s="45"/>
      <c r="I23" s="46"/>
      <c r="J23" s="46"/>
      <c r="K23" s="46"/>
    </row>
    <row r="24">
      <c r="D24" s="45"/>
      <c r="I24" s="46"/>
      <c r="J24" s="46"/>
      <c r="K24" s="46"/>
    </row>
  </sheetData>
  <mergeCells count="1">
    <mergeCell ref="B1:AK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18.38"/>
    <col customWidth="1" min="16" max="16" width="18.5"/>
    <col customWidth="1" min="17" max="17" width="16.75"/>
    <col customWidth="1" min="19" max="19" width="14.38"/>
    <col customWidth="1" min="20" max="20" width="20.5"/>
    <col customWidth="1" min="35" max="35" width="19.88"/>
    <col customWidth="1" min="36" max="36" width="16.88"/>
  </cols>
  <sheetData>
    <row r="1">
      <c r="A1" s="1" t="s">
        <v>88</v>
      </c>
      <c r="B1" s="18" t="s">
        <v>120</v>
      </c>
      <c r="AL1" s="18"/>
      <c r="AM1" s="18"/>
      <c r="AN1" s="18"/>
      <c r="AO1" s="18"/>
      <c r="AP1" s="18"/>
      <c r="AQ1" s="18"/>
    </row>
    <row r="2">
      <c r="A2" s="1" t="s">
        <v>90</v>
      </c>
      <c r="B2" s="1" t="s">
        <v>20</v>
      </c>
      <c r="C2" s="1" t="s">
        <v>91</v>
      </c>
      <c r="D2" s="1" t="s">
        <v>92</v>
      </c>
      <c r="E2" s="1" t="s">
        <v>93</v>
      </c>
      <c r="F2" s="1" t="s">
        <v>19</v>
      </c>
      <c r="G2" s="1" t="s">
        <v>94</v>
      </c>
      <c r="H2" s="1" t="s">
        <v>95</v>
      </c>
      <c r="I2" s="1" t="s">
        <v>96</v>
      </c>
      <c r="J2" s="19" t="s">
        <v>97</v>
      </c>
      <c r="K2" s="1" t="s">
        <v>98</v>
      </c>
      <c r="L2" s="1" t="s">
        <v>99</v>
      </c>
      <c r="M2" s="1" t="s">
        <v>100</v>
      </c>
      <c r="N2" s="19" t="s">
        <v>102</v>
      </c>
      <c r="O2" s="1" t="s">
        <v>103</v>
      </c>
      <c r="P2" s="1" t="s">
        <v>104</v>
      </c>
      <c r="Q2" s="1" t="s">
        <v>105</v>
      </c>
      <c r="R2" s="1" t="s">
        <v>106</v>
      </c>
      <c r="S2" s="1" t="s">
        <v>107</v>
      </c>
      <c r="T2" s="19" t="s">
        <v>108</v>
      </c>
      <c r="U2" s="1" t="s">
        <v>25</v>
      </c>
      <c r="V2" s="1" t="s">
        <v>109</v>
      </c>
      <c r="W2" s="19" t="s">
        <v>5</v>
      </c>
      <c r="X2" s="1" t="s">
        <v>29</v>
      </c>
      <c r="Y2" s="1" t="s">
        <v>110</v>
      </c>
      <c r="Z2" s="1" t="s">
        <v>30</v>
      </c>
      <c r="AA2" s="1" t="s">
        <v>111</v>
      </c>
      <c r="AB2" s="19" t="s">
        <v>9</v>
      </c>
      <c r="AC2" s="1" t="s">
        <v>112</v>
      </c>
      <c r="AD2" s="1" t="s">
        <v>113</v>
      </c>
      <c r="AE2" s="1" t="s">
        <v>114</v>
      </c>
      <c r="AF2" s="1" t="s">
        <v>115</v>
      </c>
      <c r="AG2" s="19" t="s">
        <v>116</v>
      </c>
      <c r="AH2" s="20" t="s">
        <v>117</v>
      </c>
      <c r="AI2" s="20" t="s">
        <v>2</v>
      </c>
      <c r="AJ2" s="1" t="s">
        <v>118</v>
      </c>
      <c r="AK2" s="1" t="s">
        <v>119</v>
      </c>
      <c r="AL2" s="1"/>
      <c r="AM2" s="1"/>
      <c r="AN2" s="1"/>
      <c r="AO2" s="1"/>
      <c r="AP2" s="1"/>
      <c r="AQ2" s="1"/>
    </row>
    <row r="3">
      <c r="A3" s="1">
        <v>2019.0</v>
      </c>
      <c r="B3" s="21">
        <f>87.7*1000000000000</f>
        <v>87700000000000</v>
      </c>
      <c r="C3" s="21"/>
      <c r="D3" s="22">
        <f>7.81*10^9</f>
        <v>7810000000</v>
      </c>
      <c r="E3" s="22"/>
      <c r="F3" s="21">
        <v>2.019607E12</v>
      </c>
      <c r="G3" s="21"/>
      <c r="H3" s="32">
        <v>5.9729081E7</v>
      </c>
      <c r="I3" s="22"/>
      <c r="J3" s="23">
        <f t="shared" ref="J3:J14" si="2">F3/B3</f>
        <v>0.02302858609</v>
      </c>
      <c r="K3" s="21">
        <v>5.603261E11</v>
      </c>
      <c r="L3" s="21">
        <v>6.250658E11</v>
      </c>
      <c r="M3" s="21">
        <f t="shared" ref="M3:M8" si="3">L3-K3</f>
        <v>64739700000</v>
      </c>
      <c r="N3" s="23">
        <f t="shared" ref="N3:N14" si="4">M3/F3</f>
        <v>0.03205559299</v>
      </c>
      <c r="O3" s="31">
        <v>1.342</v>
      </c>
      <c r="P3" s="24"/>
      <c r="Q3" s="21">
        <f t="shared" ref="Q3:Q8" si="5">O3*F3</f>
        <v>2710312594000</v>
      </c>
      <c r="R3" s="31">
        <v>0.015393760000000001</v>
      </c>
      <c r="S3" s="21">
        <f t="shared" ref="S3:S14" si="6">Q3*R3</f>
        <v>41721901597</v>
      </c>
      <c r="T3" s="23">
        <f t="shared" ref="T3:T14" si="7">S3/F3</f>
        <v>0.02065842592</v>
      </c>
      <c r="U3" s="31">
        <v>0.00611247</v>
      </c>
      <c r="V3" s="21">
        <f t="shared" ref="V3:V14" si="8">F3/H3</f>
        <v>33812.79213</v>
      </c>
      <c r="W3" s="25">
        <f t="shared" ref="W3:W14" si="9">V3*(1-U3)</f>
        <v>33606.11245</v>
      </c>
      <c r="X3" s="3">
        <v>0.88</v>
      </c>
      <c r="Y3" s="3"/>
      <c r="Z3" s="41">
        <v>0.34600000000000003</v>
      </c>
      <c r="AA3" s="3"/>
      <c r="AB3" s="26">
        <f t="shared" ref="AB3:AB14" si="10">X3-Z3</f>
        <v>0.534</v>
      </c>
      <c r="AC3" s="27">
        <f t="shared" ref="AC3:AF3" si="1">AC4+($AG3-$AG4)/4</f>
        <v>0.1542376864</v>
      </c>
      <c r="AD3" s="27">
        <f t="shared" si="1"/>
        <v>0.05323768636</v>
      </c>
      <c r="AE3" s="27">
        <f t="shared" si="1"/>
        <v>0.06423768636</v>
      </c>
      <c r="AF3" s="27">
        <f t="shared" si="1"/>
        <v>0.01423768636</v>
      </c>
      <c r="AG3" s="23">
        <f t="shared" ref="AG3:AG8" si="12">AG4*95%</f>
        <v>0.2859507455</v>
      </c>
      <c r="AH3" s="39">
        <f t="shared" ref="AH3:AH14" si="13">AG3+J3+N3-T3</f>
        <v>0.3203764986</v>
      </c>
      <c r="AI3" s="29">
        <f t="shared" ref="AI3:AI14" si="14">W3*AB3</f>
        <v>17945.66405</v>
      </c>
      <c r="AJ3" s="30" t="str">
        <f t="shared" ref="AJ3:AJ14" si="15">IFS(
AI3&lt;=2500,"D-",
AI3&lt;=5000,"D",
AI3&lt;=10000,"D+",
AI3&lt;=12500,"C-",
AI3&lt;=15000,"C",
AI3&lt;=20000,"C+",
AI3&lt;=25000,"B-",
AI3&lt;=30000,"B",
AI3&lt;=35000,"B+",
AI3&lt;=40000,"A-",
AI3&lt;=50000,"A",
AI3&lt;=100000,"A+",
TRUE,"Out of range"
)
</f>
        <v>C+</v>
      </c>
      <c r="AK3" s="30" t="str">
        <f t="shared" ref="AK3:AK14" si="16">CONCAT(ROUND(AH3,2),AJ3)</f>
        <v>0.32C+</v>
      </c>
    </row>
    <row r="4">
      <c r="A4" s="1">
        <v>2020.0</v>
      </c>
      <c r="B4" s="21">
        <f>84.75*1000000000000</f>
        <v>84750000000000</v>
      </c>
      <c r="C4" s="24">
        <f t="shared" ref="C4:C13" si="17">(B4-B3)/B3</f>
        <v>-0.03363740023</v>
      </c>
      <c r="D4" s="22">
        <f>7.89*10^9</f>
        <v>7890000000</v>
      </c>
      <c r="E4" s="24">
        <f t="shared" ref="E4:E13" si="18">(D4-D3)/D3</f>
        <v>0.01024327785</v>
      </c>
      <c r="F4" s="21">
        <v>1.907481E12</v>
      </c>
      <c r="G4" s="24">
        <f t="shared" ref="G4:G13" si="19">(F4-F3)/F3</f>
        <v>-0.05551872221</v>
      </c>
      <c r="H4" s="32">
        <v>5.9438851E7</v>
      </c>
      <c r="I4" s="24">
        <f t="shared" ref="I4:I13" si="20">(H4-H3)/H3</f>
        <v>-0.004859107074</v>
      </c>
      <c r="J4" s="23">
        <f t="shared" si="2"/>
        <v>0.02250715044</v>
      </c>
      <c r="K4" s="21">
        <v>4.809452E11</v>
      </c>
      <c r="L4" s="21">
        <v>5.479403E11</v>
      </c>
      <c r="M4" s="21">
        <f t="shared" si="3"/>
        <v>66995100000</v>
      </c>
      <c r="N4" s="23">
        <f t="shared" si="4"/>
        <v>0.03512228955</v>
      </c>
      <c r="O4" s="31">
        <v>1.549</v>
      </c>
      <c r="P4" s="24">
        <f t="shared" ref="P4:P13" si="21">(O4-O3)/O3</f>
        <v>0.154247392</v>
      </c>
      <c r="Q4" s="21">
        <f t="shared" si="5"/>
        <v>2954688069000</v>
      </c>
      <c r="R4" s="31">
        <v>0.0073926899999999995</v>
      </c>
      <c r="S4" s="21">
        <f t="shared" si="6"/>
        <v>21843092941</v>
      </c>
      <c r="T4" s="23">
        <f t="shared" si="7"/>
        <v>0.01145127681</v>
      </c>
      <c r="U4" s="31">
        <v>-0.00137708</v>
      </c>
      <c r="V4" s="21">
        <f t="shared" si="8"/>
        <v>32091.48508</v>
      </c>
      <c r="W4" s="25">
        <f t="shared" si="9"/>
        <v>32135.67762</v>
      </c>
      <c r="X4" s="3">
        <v>0.89</v>
      </c>
      <c r="Y4" s="31">
        <f t="shared" ref="Y4:Y13" si="22">(X4-X3)/X3</f>
        <v>0.01136363636</v>
      </c>
      <c r="Z4" s="41">
        <v>0.35200000000000004</v>
      </c>
      <c r="AA4" s="31">
        <f t="shared" ref="AA4:AA13" si="23">(Z4-Z3)/Z4</f>
        <v>0.01704545455</v>
      </c>
      <c r="AB4" s="26">
        <f t="shared" si="10"/>
        <v>0.538</v>
      </c>
      <c r="AC4" s="27">
        <f t="shared" ref="AC4:AF4" si="11">AC5+($AG4-$AG5)/4</f>
        <v>0.1580001962</v>
      </c>
      <c r="AD4" s="27">
        <f t="shared" si="11"/>
        <v>0.05700019617</v>
      </c>
      <c r="AE4" s="27">
        <f t="shared" si="11"/>
        <v>0.06800019617</v>
      </c>
      <c r="AF4" s="27">
        <f t="shared" si="11"/>
        <v>0.01800019617</v>
      </c>
      <c r="AG4" s="23">
        <f t="shared" si="12"/>
        <v>0.3010007847</v>
      </c>
      <c r="AH4" s="39">
        <f t="shared" si="13"/>
        <v>0.3471789479</v>
      </c>
      <c r="AI4" s="29">
        <f t="shared" si="14"/>
        <v>17288.99456</v>
      </c>
      <c r="AJ4" s="30" t="str">
        <f t="shared" si="15"/>
        <v>C+</v>
      </c>
      <c r="AK4" s="30" t="str">
        <f t="shared" si="16"/>
        <v>0.35C+</v>
      </c>
    </row>
    <row r="5">
      <c r="A5" s="1">
        <v>2021.0</v>
      </c>
      <c r="B5" s="21">
        <f>96.14*1000000000000</f>
        <v>96140000000000</v>
      </c>
      <c r="C5" s="24">
        <f t="shared" si="17"/>
        <v>0.1343952802</v>
      </c>
      <c r="D5" s="22">
        <f>7.95*10^9</f>
        <v>7950000000</v>
      </c>
      <c r="E5" s="24">
        <f t="shared" si="18"/>
        <v>0.007604562738</v>
      </c>
      <c r="F5" s="21">
        <v>2.179208E12</v>
      </c>
      <c r="G5" s="24">
        <f t="shared" si="19"/>
        <v>0.1424533193</v>
      </c>
      <c r="H5" s="32">
        <v>5.9133173E7</v>
      </c>
      <c r="I5" s="24">
        <f t="shared" si="20"/>
        <v>-0.005142730636</v>
      </c>
      <c r="J5" s="23">
        <f t="shared" si="2"/>
        <v>0.02266702725</v>
      </c>
      <c r="K5" s="21">
        <v>6.348113E11</v>
      </c>
      <c r="L5" s="21">
        <v>6.792941E11</v>
      </c>
      <c r="M5" s="21">
        <f t="shared" si="3"/>
        <v>44482800000</v>
      </c>
      <c r="N5" s="23">
        <f t="shared" si="4"/>
        <v>0.02041237</v>
      </c>
      <c r="O5" s="31">
        <v>1.457</v>
      </c>
      <c r="P5" s="24">
        <f t="shared" si="21"/>
        <v>-0.05939315688</v>
      </c>
      <c r="Q5" s="21">
        <f t="shared" si="5"/>
        <v>3175106056000</v>
      </c>
      <c r="R5" s="31">
        <v>0.00733186</v>
      </c>
      <c r="S5" s="21">
        <f t="shared" si="6"/>
        <v>23279433088</v>
      </c>
      <c r="T5" s="23">
        <f t="shared" si="7"/>
        <v>0.01068252002</v>
      </c>
      <c r="U5" s="31">
        <v>0.01873783</v>
      </c>
      <c r="V5" s="21">
        <f t="shared" si="8"/>
        <v>36852.54637</v>
      </c>
      <c r="W5" s="25">
        <f t="shared" si="9"/>
        <v>36162.00962</v>
      </c>
      <c r="X5" s="3">
        <v>0.9</v>
      </c>
      <c r="Y5" s="31">
        <f t="shared" si="22"/>
        <v>0.01123595506</v>
      </c>
      <c r="Z5" s="41">
        <v>0.348</v>
      </c>
      <c r="AA5" s="31">
        <f t="shared" si="23"/>
        <v>-0.01149425287</v>
      </c>
      <c r="AB5" s="26">
        <f t="shared" si="10"/>
        <v>0.552</v>
      </c>
      <c r="AC5" s="27">
        <f t="shared" ref="AC5:AF5" si="24">AC6+($AG5-$AG6)/4</f>
        <v>0.1619607328</v>
      </c>
      <c r="AD5" s="27">
        <f t="shared" si="24"/>
        <v>0.06096073281</v>
      </c>
      <c r="AE5" s="27">
        <f t="shared" si="24"/>
        <v>0.07196073281</v>
      </c>
      <c r="AF5" s="27">
        <f t="shared" si="24"/>
        <v>0.02196073281</v>
      </c>
      <c r="AG5" s="23">
        <f t="shared" si="12"/>
        <v>0.3168429313</v>
      </c>
      <c r="AH5" s="39">
        <f t="shared" si="13"/>
        <v>0.3492398085</v>
      </c>
      <c r="AI5" s="29">
        <f t="shared" si="14"/>
        <v>19961.42931</v>
      </c>
      <c r="AJ5" s="30" t="str">
        <f t="shared" si="15"/>
        <v>C+</v>
      </c>
      <c r="AK5" s="30" t="str">
        <f t="shared" si="16"/>
        <v>0.35C+</v>
      </c>
    </row>
    <row r="6">
      <c r="A6" s="1">
        <v>2022.0</v>
      </c>
      <c r="B6" s="21">
        <f>101.56*1000000000000</f>
        <v>101560000000000</v>
      </c>
      <c r="C6" s="24">
        <f t="shared" si="17"/>
        <v>0.05637611816</v>
      </c>
      <c r="D6" s="22">
        <f>8.02*10^9</f>
        <v>8020000000</v>
      </c>
      <c r="E6" s="24">
        <f t="shared" si="18"/>
        <v>0.008805031447</v>
      </c>
      <c r="F6" s="21">
        <v>2.104068E12</v>
      </c>
      <c r="G6" s="24">
        <f t="shared" si="19"/>
        <v>-0.03448041674</v>
      </c>
      <c r="H6" s="32">
        <v>5.9013667E7</v>
      </c>
      <c r="I6" s="24">
        <f t="shared" si="20"/>
        <v>-0.002020963766</v>
      </c>
      <c r="J6" s="23">
        <f t="shared" si="2"/>
        <v>0.0207174872</v>
      </c>
      <c r="K6" s="21">
        <v>7.767663E11</v>
      </c>
      <c r="L6" s="21">
        <v>7.385096E11</v>
      </c>
      <c r="M6" s="21">
        <f t="shared" si="3"/>
        <v>-38256700000</v>
      </c>
      <c r="N6" s="23">
        <f t="shared" si="4"/>
        <v>-0.01818225457</v>
      </c>
      <c r="O6" s="31">
        <v>1.389</v>
      </c>
      <c r="P6" s="24">
        <f t="shared" si="21"/>
        <v>-0.04667124228</v>
      </c>
      <c r="Q6" s="21">
        <f t="shared" si="5"/>
        <v>2922550452000</v>
      </c>
      <c r="R6" s="31">
        <v>-0.01151129</v>
      </c>
      <c r="S6" s="21">
        <f t="shared" si="6"/>
        <v>-33642325793</v>
      </c>
      <c r="T6" s="23">
        <f t="shared" si="7"/>
        <v>-0.01598918181</v>
      </c>
      <c r="U6" s="31">
        <v>0.0820129</v>
      </c>
      <c r="V6" s="21">
        <f t="shared" si="8"/>
        <v>35653.91047</v>
      </c>
      <c r="W6" s="25">
        <f t="shared" si="9"/>
        <v>32729.82988</v>
      </c>
      <c r="X6" s="3">
        <v>0.91</v>
      </c>
      <c r="Y6" s="31">
        <f t="shared" si="22"/>
        <v>0.01111111111</v>
      </c>
      <c r="Z6" s="41">
        <v>0.337</v>
      </c>
      <c r="AA6" s="31">
        <f t="shared" si="23"/>
        <v>-0.03264094955</v>
      </c>
      <c r="AB6" s="26">
        <f t="shared" si="10"/>
        <v>0.573</v>
      </c>
      <c r="AC6" s="27">
        <f t="shared" ref="AC6:AF6" si="25">AC7+($AG6-$AG7)/4</f>
        <v>0.1661297188</v>
      </c>
      <c r="AD6" s="27">
        <f t="shared" si="25"/>
        <v>0.06512971875</v>
      </c>
      <c r="AE6" s="27">
        <f t="shared" si="25"/>
        <v>0.07612971875</v>
      </c>
      <c r="AF6" s="27">
        <f t="shared" si="25"/>
        <v>0.02612971875</v>
      </c>
      <c r="AG6" s="23">
        <f t="shared" si="12"/>
        <v>0.333518875</v>
      </c>
      <c r="AH6" s="39">
        <f t="shared" si="13"/>
        <v>0.3520432894</v>
      </c>
      <c r="AI6" s="29">
        <f t="shared" si="14"/>
        <v>18754.19252</v>
      </c>
      <c r="AJ6" s="30" t="str">
        <f t="shared" si="15"/>
        <v>C+</v>
      </c>
      <c r="AK6" s="30" t="str">
        <f t="shared" si="16"/>
        <v>0.35C+</v>
      </c>
    </row>
    <row r="7">
      <c r="A7" s="1">
        <v>2023.0</v>
      </c>
      <c r="B7" s="21">
        <f>106.8*1000000000000</f>
        <v>106800000000000</v>
      </c>
      <c r="C7" s="24">
        <f t="shared" si="17"/>
        <v>0.05159511619</v>
      </c>
      <c r="D7" s="32">
        <f>8.09*10^9</f>
        <v>8090000000</v>
      </c>
      <c r="E7" s="24">
        <f t="shared" si="18"/>
        <v>0.008728179551</v>
      </c>
      <c r="F7" s="21">
        <v>2.316728E12</v>
      </c>
      <c r="G7" s="24">
        <f t="shared" si="19"/>
        <v>0.1010708779</v>
      </c>
      <c r="H7" s="32">
        <v>5.8984216E7</v>
      </c>
      <c r="I7" s="24">
        <f t="shared" si="20"/>
        <v>-0.0004990538887</v>
      </c>
      <c r="J7" s="23">
        <f t="shared" si="2"/>
        <v>0.02169220974</v>
      </c>
      <c r="K7" s="21">
        <v>7.36154E11</v>
      </c>
      <c r="L7" s="21">
        <v>7.722023E11</v>
      </c>
      <c r="M7" s="21">
        <f t="shared" si="3"/>
        <v>36048300000</v>
      </c>
      <c r="N7" s="23">
        <f t="shared" si="4"/>
        <v>0.01556000532</v>
      </c>
      <c r="O7" s="31">
        <v>1.346</v>
      </c>
      <c r="P7" s="24">
        <f t="shared" si="21"/>
        <v>-0.0309575234</v>
      </c>
      <c r="Q7" s="21">
        <f t="shared" si="5"/>
        <v>3118315888000</v>
      </c>
      <c r="R7" s="31">
        <v>-0.012286410000000001</v>
      </c>
      <c r="S7" s="21">
        <f t="shared" si="6"/>
        <v>-38312907509</v>
      </c>
      <c r="T7" s="23">
        <f t="shared" si="7"/>
        <v>-0.01653750786</v>
      </c>
      <c r="U7" s="31">
        <v>0.056221940000000005</v>
      </c>
      <c r="V7" s="21">
        <f t="shared" si="8"/>
        <v>39277.08389</v>
      </c>
      <c r="W7" s="25">
        <f t="shared" si="9"/>
        <v>37068.85004</v>
      </c>
      <c r="X7" s="3">
        <v>0.92</v>
      </c>
      <c r="Y7" s="31">
        <f t="shared" si="22"/>
        <v>0.01098901099</v>
      </c>
      <c r="Z7" s="41">
        <v>0.34299999999999997</v>
      </c>
      <c r="AA7" s="31">
        <f t="shared" si="23"/>
        <v>0.01749271137</v>
      </c>
      <c r="AB7" s="26">
        <f t="shared" si="10"/>
        <v>0.577</v>
      </c>
      <c r="AC7" s="27">
        <f t="shared" ref="AC7:AF7" si="26">AC8+($AG7-$AG8)/4</f>
        <v>0.170518125</v>
      </c>
      <c r="AD7" s="27">
        <f t="shared" si="26"/>
        <v>0.069518125</v>
      </c>
      <c r="AE7" s="27">
        <f t="shared" si="26"/>
        <v>0.080518125</v>
      </c>
      <c r="AF7" s="27">
        <f t="shared" si="26"/>
        <v>0.030518125</v>
      </c>
      <c r="AG7" s="23">
        <f t="shared" si="12"/>
        <v>0.3510725</v>
      </c>
      <c r="AH7" s="39">
        <f t="shared" si="13"/>
        <v>0.4048622229</v>
      </c>
      <c r="AI7" s="29">
        <f t="shared" si="14"/>
        <v>21388.72647</v>
      </c>
      <c r="AJ7" s="30" t="str">
        <f t="shared" si="15"/>
        <v>B-</v>
      </c>
      <c r="AK7" s="30" t="str">
        <f t="shared" si="16"/>
        <v>0.4B-</v>
      </c>
    </row>
    <row r="8">
      <c r="A8" s="1">
        <v>2024.0</v>
      </c>
      <c r="B8" s="21">
        <f>112.6*1000000000000</f>
        <v>112600000000000</v>
      </c>
      <c r="C8" s="24">
        <f t="shared" si="17"/>
        <v>0.0543071161</v>
      </c>
      <c r="D8" s="32">
        <v>8.161972572E9</v>
      </c>
      <c r="E8" s="24">
        <f t="shared" si="18"/>
        <v>0.008896486032</v>
      </c>
      <c r="F8" s="21">
        <v>2.380825E12</v>
      </c>
      <c r="G8" s="24">
        <f t="shared" si="19"/>
        <v>0.0276670373</v>
      </c>
      <c r="H8" s="32">
        <v>5.8952704E7</v>
      </c>
      <c r="I8" s="24">
        <f t="shared" si="20"/>
        <v>-0.0005342446189</v>
      </c>
      <c r="J8" s="23">
        <f t="shared" si="2"/>
        <v>0.02114409414</v>
      </c>
      <c r="K8" s="21">
        <v>7.218359E11</v>
      </c>
      <c r="L8" s="21">
        <v>7.738882E11</v>
      </c>
      <c r="M8" s="21">
        <f t="shared" si="3"/>
        <v>52052300000</v>
      </c>
      <c r="N8" s="23">
        <f t="shared" si="4"/>
        <v>0.02186313568</v>
      </c>
      <c r="O8" s="31">
        <v>1.353</v>
      </c>
      <c r="P8" s="24">
        <f t="shared" si="21"/>
        <v>0.005200594354</v>
      </c>
      <c r="Q8" s="21">
        <f t="shared" si="5"/>
        <v>3221256225000</v>
      </c>
      <c r="R8" s="31">
        <v>0.03234293</v>
      </c>
      <c r="S8" s="21">
        <f t="shared" si="6"/>
        <v>104184864597</v>
      </c>
      <c r="T8" s="23">
        <f t="shared" si="7"/>
        <v>0.04375998429</v>
      </c>
      <c r="U8" s="31">
        <v>0.009823730000000001</v>
      </c>
      <c r="V8" s="21">
        <f t="shared" si="8"/>
        <v>40385.34009</v>
      </c>
      <c r="W8" s="25">
        <f t="shared" si="9"/>
        <v>39988.60541</v>
      </c>
      <c r="X8" s="3">
        <v>0.92</v>
      </c>
      <c r="Y8" s="31">
        <f t="shared" si="22"/>
        <v>0</v>
      </c>
      <c r="Z8" s="41">
        <f>AVERAGE(Z7,Z9)</f>
        <v>0.334</v>
      </c>
      <c r="AA8" s="31">
        <f t="shared" si="23"/>
        <v>-0.02694610778</v>
      </c>
      <c r="AB8" s="26">
        <f t="shared" si="10"/>
        <v>0.586</v>
      </c>
      <c r="AC8" s="27">
        <f t="shared" ref="AC8:AF8" si="27">AC9+($AG8-$AG9)/4</f>
        <v>0.1751375</v>
      </c>
      <c r="AD8" s="27">
        <f t="shared" si="27"/>
        <v>0.0741375</v>
      </c>
      <c r="AE8" s="27">
        <f t="shared" si="27"/>
        <v>0.0851375</v>
      </c>
      <c r="AF8" s="27">
        <f t="shared" si="27"/>
        <v>0.0351375</v>
      </c>
      <c r="AG8" s="23">
        <f t="shared" si="12"/>
        <v>0.36955</v>
      </c>
      <c r="AH8" s="39">
        <f t="shared" si="13"/>
        <v>0.3687972455</v>
      </c>
      <c r="AI8" s="29">
        <f t="shared" si="14"/>
        <v>23433.32277</v>
      </c>
      <c r="AJ8" s="30" t="str">
        <f t="shared" si="15"/>
        <v>B-</v>
      </c>
      <c r="AK8" s="30" t="str">
        <f t="shared" si="16"/>
        <v>0.37B-</v>
      </c>
    </row>
    <row r="9">
      <c r="A9" s="1">
        <v>2025.0</v>
      </c>
      <c r="B9" s="33">
        <v>1.13795678E14</v>
      </c>
      <c r="C9" s="24">
        <f t="shared" si="17"/>
        <v>0.01061880995</v>
      </c>
      <c r="D9" s="32">
        <v>8.23161307E9</v>
      </c>
      <c r="E9" s="24">
        <f t="shared" si="18"/>
        <v>0.008532312181</v>
      </c>
      <c r="F9" s="33">
        <v>2.423E12</v>
      </c>
      <c r="G9" s="24">
        <f t="shared" si="19"/>
        <v>0.01771444772</v>
      </c>
      <c r="H9" s="32">
        <v>5.89E7</v>
      </c>
      <c r="I9" s="24">
        <f t="shared" si="20"/>
        <v>-0.0008940047941</v>
      </c>
      <c r="J9" s="23">
        <f t="shared" si="2"/>
        <v>0.02129254856</v>
      </c>
      <c r="K9" s="33">
        <f>1559000000000/2</f>
        <v>779500000000</v>
      </c>
      <c r="L9" s="21">
        <f t="shared" ref="L9:L14" si="28">K9+M9</f>
        <v>966100000000</v>
      </c>
      <c r="M9" s="33">
        <v>1.866E11</v>
      </c>
      <c r="N9" s="23">
        <f t="shared" si="4"/>
        <v>0.07701196863</v>
      </c>
      <c r="O9" s="24">
        <f>Q9/F9</f>
        <v>1.353</v>
      </c>
      <c r="P9" s="24">
        <f t="shared" si="21"/>
        <v>0</v>
      </c>
      <c r="Q9" s="33">
        <v>3.278319E12</v>
      </c>
      <c r="R9" s="31">
        <v>0.029</v>
      </c>
      <c r="S9" s="21">
        <f t="shared" si="6"/>
        <v>95071251000</v>
      </c>
      <c r="T9" s="23">
        <f t="shared" si="7"/>
        <v>0.039237</v>
      </c>
      <c r="U9" s="31">
        <v>0.045</v>
      </c>
      <c r="V9" s="21">
        <f t="shared" si="8"/>
        <v>41137.52122</v>
      </c>
      <c r="W9" s="25">
        <f t="shared" si="9"/>
        <v>39286.33277</v>
      </c>
      <c r="X9" s="43">
        <v>0.915</v>
      </c>
      <c r="Y9" s="31">
        <f t="shared" si="22"/>
        <v>-0.005434782609</v>
      </c>
      <c r="Z9" s="41">
        <v>0.325</v>
      </c>
      <c r="AA9" s="31">
        <f t="shared" si="23"/>
        <v>-0.02769230769</v>
      </c>
      <c r="AB9" s="26">
        <f t="shared" si="10"/>
        <v>0.59</v>
      </c>
      <c r="AC9" s="31">
        <v>0.18</v>
      </c>
      <c r="AD9" s="31">
        <v>0.079</v>
      </c>
      <c r="AE9" s="31">
        <v>0.09</v>
      </c>
      <c r="AF9" s="31">
        <v>0.04</v>
      </c>
      <c r="AG9" s="23">
        <f>SUM(AC9:AF9)</f>
        <v>0.389</v>
      </c>
      <c r="AH9" s="39">
        <f t="shared" si="13"/>
        <v>0.4480675172</v>
      </c>
      <c r="AI9" s="29">
        <f t="shared" si="14"/>
        <v>23178.93633</v>
      </c>
      <c r="AJ9" s="30" t="str">
        <f t="shared" si="15"/>
        <v>B-</v>
      </c>
      <c r="AK9" s="30" t="str">
        <f t="shared" si="16"/>
        <v>0.45B-</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2510612831925</v>
      </c>
      <c r="G10" s="24">
        <f t="shared" si="19"/>
        <v>0.03615882457</v>
      </c>
      <c r="H10" s="22">
        <f>AVERAGE(FORECAST(A10,H3:H9,$A$3:$A$9),H9*(AVERAGE(I4:I9)+1))</f>
        <v>58706042.38</v>
      </c>
      <c r="I10" s="24">
        <f t="shared" si="20"/>
        <v>-0.003292998666</v>
      </c>
      <c r="J10" s="35">
        <f t="shared" si="2"/>
        <v>0.02091065429</v>
      </c>
      <c r="K10" s="36">
        <f>FORECAST(A10,K3:K9,A3:A9)</f>
        <v>847283514286</v>
      </c>
      <c r="L10" s="36">
        <f t="shared" si="28"/>
        <v>952986700000</v>
      </c>
      <c r="M10" s="21">
        <f>FORECAST(A10,M3:M9,$A$3:$A$9)</f>
        <v>105703185714</v>
      </c>
      <c r="N10" s="24">
        <f t="shared" si="4"/>
        <v>0.0421025434</v>
      </c>
      <c r="O10" s="24">
        <f>AVERAGE(FORECAST(A10,O3:O9,$A$3:$A$9),O9*(AVERAGE(P4:P9)+1))</f>
        <v>1.344671396</v>
      </c>
      <c r="P10" s="24">
        <f t="shared" si="21"/>
        <v>-0.006155657183</v>
      </c>
      <c r="Q10" s="21">
        <f t="shared" ref="Q10:Q14" si="30">O10*F10</f>
        <v>3375949261096</v>
      </c>
      <c r="R10" s="24">
        <f>FORECAST(A10,R3:R9,$A$3:$A$9)</f>
        <v>0.01982349571</v>
      </c>
      <c r="S10" s="21">
        <f t="shared" si="6"/>
        <v>66923115709</v>
      </c>
      <c r="T10" s="24">
        <f t="shared" si="7"/>
        <v>0.02665608765</v>
      </c>
      <c r="U10" s="24">
        <f>FORECAST(A10,U3:U9,$A$3:$A$9)</f>
        <v>0.05615430143</v>
      </c>
      <c r="V10" s="21">
        <f t="shared" si="8"/>
        <v>42765.83347</v>
      </c>
      <c r="W10" s="21">
        <f t="shared" si="9"/>
        <v>40364.34796</v>
      </c>
      <c r="X10" s="37">
        <f>AVERAGE(FORECAST(A10,X3:X9,$A$3:$A$9),X9*(AVERAGE(Y4:Y9)+1))</f>
        <v>0.9262082367</v>
      </c>
      <c r="Y10" s="31">
        <f t="shared" si="22"/>
        <v>0.01224943901</v>
      </c>
      <c r="Z10" s="38">
        <f>AVERAGE(FORECAST(A10,Z3:Z9,$A$3:$A$9),Z9*(AVERAGE(AA4:AA9)+1))</f>
        <v>0.3236888613</v>
      </c>
      <c r="AA10" s="31">
        <f t="shared" si="23"/>
        <v>-0.004050614298</v>
      </c>
      <c r="AB10" s="37">
        <f t="shared" si="10"/>
        <v>0.6025193754</v>
      </c>
      <c r="AC10" s="27">
        <f t="shared" ref="AC10:AF10" si="29">AC9+($AG10-$AG9)/4</f>
        <v>0.1848625</v>
      </c>
      <c r="AD10" s="27">
        <f t="shared" si="29"/>
        <v>0.0838625</v>
      </c>
      <c r="AE10" s="27">
        <f t="shared" si="29"/>
        <v>0.0948625</v>
      </c>
      <c r="AF10" s="27">
        <f t="shared" si="29"/>
        <v>0.0448625</v>
      </c>
      <c r="AG10" s="24">
        <f t="shared" ref="AG10:AG14" si="32">AG9*1.05</f>
        <v>0.40845</v>
      </c>
      <c r="AH10" s="38">
        <f t="shared" si="13"/>
        <v>0.44480711</v>
      </c>
      <c r="AI10" s="21">
        <f t="shared" si="14"/>
        <v>24320.30173</v>
      </c>
      <c r="AJ10" s="30" t="str">
        <f t="shared" si="15"/>
        <v>B-</v>
      </c>
      <c r="AK10" s="30" t="str">
        <f t="shared" si="16"/>
        <v>0.44B-</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2595560115302</v>
      </c>
      <c r="G11" s="24">
        <f t="shared" si="19"/>
        <v>0.0338352781</v>
      </c>
      <c r="H11" s="22">
        <f>AVERAGE(FORECAST($A11,H3:H10,$A3:$A10),H10*(AVERAGE(I4:I10)+1))</f>
        <v>58555046.15</v>
      </c>
      <c r="I11" s="24">
        <f t="shared" si="20"/>
        <v>-0.002572073018</v>
      </c>
      <c r="J11" s="35">
        <f t="shared" si="2"/>
        <v>0.02064301053</v>
      </c>
      <c r="K11" s="36">
        <f>FORECAST(A11,K3:K10,A3:A10)</f>
        <v>891592292857</v>
      </c>
      <c r="L11" s="21">
        <f t="shared" si="28"/>
        <v>1008983364286</v>
      </c>
      <c r="M11" s="21">
        <f>FORECAST($A11,M3:M10,$A3:$A10)</f>
        <v>117391071429</v>
      </c>
      <c r="N11" s="24">
        <f t="shared" si="4"/>
        <v>0.04522764498</v>
      </c>
      <c r="O11" s="24">
        <f>AVERAGE(FORECAST($A11,O3:O10,$A3:$A10),O10*(AVERAGE(P4:P10)+1))</f>
        <v>1.334494858</v>
      </c>
      <c r="P11" s="24">
        <f t="shared" si="21"/>
        <v>-0.007568048411</v>
      </c>
      <c r="Q11" s="21">
        <f t="shared" si="30"/>
        <v>3463761626488</v>
      </c>
      <c r="R11" s="24">
        <f>FORECAST($A11,R3:R10,$A3:$A10)</f>
        <v>0.02236281464</v>
      </c>
      <c r="S11" s="21">
        <f t="shared" si="6"/>
        <v>77459459220</v>
      </c>
      <c r="T11" s="24">
        <f t="shared" si="7"/>
        <v>0.02984306114</v>
      </c>
      <c r="U11" s="24">
        <f>FORECAST($A11,U3:U10,$A3:$A10)</f>
        <v>0.06245959857</v>
      </c>
      <c r="V11" s="21">
        <f t="shared" si="8"/>
        <v>44326.8392</v>
      </c>
      <c r="W11" s="21">
        <f t="shared" si="9"/>
        <v>41558.20262</v>
      </c>
      <c r="X11" s="37">
        <f>AVERAGE(FORECAST($A11,X3:X10,$A3:$A10),X10*(AVERAGE(Y4:Y10)+1))</f>
        <v>0.9342249656</v>
      </c>
      <c r="Y11" s="31">
        <f t="shared" si="22"/>
        <v>0.008655428263</v>
      </c>
      <c r="Z11" s="38">
        <f>AVERAGE(FORECAST($A11,Z3:Z10,$A3:$A10),Z10*(AVERAGE(AA4:AA10)+1))</f>
        <v>0.3207949717</v>
      </c>
      <c r="AA11" s="31">
        <f t="shared" si="23"/>
        <v>-0.00902099406</v>
      </c>
      <c r="AB11" s="37">
        <f t="shared" si="10"/>
        <v>0.6134299939</v>
      </c>
      <c r="AC11" s="27">
        <f t="shared" ref="AC11:AF11" si="31">AC10+($AG11-$AG10)/4</f>
        <v>0.189968125</v>
      </c>
      <c r="AD11" s="27">
        <f t="shared" si="31"/>
        <v>0.088968125</v>
      </c>
      <c r="AE11" s="27">
        <f t="shared" si="31"/>
        <v>0.099968125</v>
      </c>
      <c r="AF11" s="27">
        <f t="shared" si="31"/>
        <v>0.049968125</v>
      </c>
      <c r="AG11" s="24">
        <f t="shared" si="32"/>
        <v>0.4288725</v>
      </c>
      <c r="AH11" s="38">
        <f t="shared" si="13"/>
        <v>0.4649000944</v>
      </c>
      <c r="AI11" s="21">
        <f t="shared" si="14"/>
        <v>25493.04798</v>
      </c>
      <c r="AJ11" s="30" t="str">
        <f t="shared" si="15"/>
        <v>B</v>
      </c>
      <c r="AK11" s="30" t="str">
        <f t="shared" si="16"/>
        <v>0.46B</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2680026887135</v>
      </c>
      <c r="G12" s="24">
        <f t="shared" si="19"/>
        <v>0.03254279157</v>
      </c>
      <c r="H12" s="22">
        <f>AVERAGE(FORECAST($A12,H3:H11,$A3:$A11),H11*(AVERAGE(I4:I11)+1))</f>
        <v>58418693.16</v>
      </c>
      <c r="I12" s="24">
        <f t="shared" si="20"/>
        <v>-0.002328629288</v>
      </c>
      <c r="J12" s="35">
        <f t="shared" si="2"/>
        <v>0.02042120634</v>
      </c>
      <c r="K12" s="36">
        <f>FORECAST(A12,K3:K11,A3:A11)</f>
        <v>935901071429</v>
      </c>
      <c r="L12" s="21">
        <f t="shared" si="28"/>
        <v>1064980028571</v>
      </c>
      <c r="M12" s="21">
        <f t="shared" ref="M12:M14" si="34">FORECAST($A12,M3:M11,$A3:$A11)</f>
        <v>129078957143</v>
      </c>
      <c r="N12" s="24">
        <f t="shared" si="4"/>
        <v>0.04816330678</v>
      </c>
      <c r="O12" s="24">
        <f>AVERAGE(FORECAST($A12,O3:O11,$A3:$A11),O11*(AVERAGE(P4:P11)+1))</f>
        <v>1.323690561</v>
      </c>
      <c r="P12" s="24">
        <f t="shared" si="21"/>
        <v>-0.008096169696</v>
      </c>
      <c r="Q12" s="21">
        <f t="shared" si="30"/>
        <v>3547526293149</v>
      </c>
      <c r="R12" s="24">
        <f>FORECAST($A12,R3:R11,$A3:$A11)</f>
        <v>0.02490213357</v>
      </c>
      <c r="S12" s="21">
        <f t="shared" si="6"/>
        <v>88340973600</v>
      </c>
      <c r="T12" s="24">
        <f t="shared" si="7"/>
        <v>0.03296271915</v>
      </c>
      <c r="U12" s="24">
        <f>FORECAST($A12,U3:U11,$A3:$A11)</f>
        <v>0.06876489571</v>
      </c>
      <c r="V12" s="21">
        <f t="shared" si="8"/>
        <v>45876.18693</v>
      </c>
      <c r="W12" s="21">
        <f t="shared" si="9"/>
        <v>42721.51572</v>
      </c>
      <c r="X12" s="37">
        <f>AVERAGE(FORECAST($A12,X3:X11,$A3:$A11),X11*(AVERAGE(Y4:Y11)+1))</f>
        <v>0.9411577759</v>
      </c>
      <c r="Y12" s="31">
        <f t="shared" si="22"/>
        <v>0.007420921633</v>
      </c>
      <c r="Z12" s="37">
        <f>AVERAGE(FORECAST($A12,Z3:Z11,$A3:$A11),Z11*(AVERAGE(AA4:AA11)+1))</f>
        <v>0.3173707639</v>
      </c>
      <c r="AA12" s="31">
        <f t="shared" si="23"/>
        <v>-0.01078929815</v>
      </c>
      <c r="AB12" s="37">
        <f t="shared" si="10"/>
        <v>0.623787012</v>
      </c>
      <c r="AC12" s="27">
        <f t="shared" ref="AC12:AF12" si="33">AC11+($AG12-$AG11)/4</f>
        <v>0.1953290313</v>
      </c>
      <c r="AD12" s="27">
        <f t="shared" si="33"/>
        <v>0.09432903125</v>
      </c>
      <c r="AE12" s="27">
        <f t="shared" si="33"/>
        <v>0.1053290313</v>
      </c>
      <c r="AF12" s="27">
        <f t="shared" si="33"/>
        <v>0.05532903125</v>
      </c>
      <c r="AG12" s="24">
        <f t="shared" si="32"/>
        <v>0.450316125</v>
      </c>
      <c r="AH12" s="38">
        <f t="shared" si="13"/>
        <v>0.485937919</v>
      </c>
      <c r="AI12" s="21">
        <f t="shared" si="14"/>
        <v>26649.12663</v>
      </c>
      <c r="AJ12" s="30" t="str">
        <f t="shared" si="15"/>
        <v>B</v>
      </c>
      <c r="AK12" s="30" t="str">
        <f t="shared" si="16"/>
        <v>0.49B</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2764722146561</v>
      </c>
      <c r="G13" s="24">
        <f t="shared" si="19"/>
        <v>0.03160239169</v>
      </c>
      <c r="H13" s="22">
        <f>AVERAGE(FORECAST($A13,H3:H12,$A3:$A12),H12*(AVERAGE(I4:I12)+1))</f>
        <v>58287581.41</v>
      </c>
      <c r="I13" s="24">
        <f t="shared" si="20"/>
        <v>-0.002244345797</v>
      </c>
      <c r="J13" s="35">
        <f t="shared" si="2"/>
        <v>0.02022289519</v>
      </c>
      <c r="K13" s="36">
        <f>FORECAST(A13,K3:K12,A3:A12)</f>
        <v>980209850000</v>
      </c>
      <c r="L13" s="21">
        <f t="shared" si="28"/>
        <v>1133459161111</v>
      </c>
      <c r="M13" s="21">
        <f t="shared" si="34"/>
        <v>153249311111</v>
      </c>
      <c r="N13" s="24">
        <f t="shared" si="4"/>
        <v>0.05543027581</v>
      </c>
      <c r="O13" s="24">
        <f>AVERAGE(FORECAST($A13,O3:O12,$A3:$A12),O12*(AVERAGE(P4:P12)+1))</f>
        <v>1.312666633</v>
      </c>
      <c r="P13" s="24">
        <f t="shared" si="21"/>
        <v>-0.00832817584</v>
      </c>
      <c r="Q13" s="21">
        <f t="shared" si="30"/>
        <v>3629158511407</v>
      </c>
      <c r="R13" s="24">
        <f>FORECAST($A13,R3:R12,$A3:$A12)</f>
        <v>0.0274414525</v>
      </c>
      <c r="S13" s="21">
        <f t="shared" si="6"/>
        <v>99589380906</v>
      </c>
      <c r="T13" s="24">
        <f t="shared" si="7"/>
        <v>0.03602147906</v>
      </c>
      <c r="U13" s="24">
        <f>FORECAST($A13,U3:U12,$A3:$A12)</f>
        <v>0.07507019286</v>
      </c>
      <c r="V13" s="21">
        <f t="shared" si="8"/>
        <v>47432.43895</v>
      </c>
      <c r="W13" s="21">
        <f t="shared" si="9"/>
        <v>43871.67661</v>
      </c>
      <c r="X13" s="37">
        <f>AVERAGE(FORECAST($A13,X3:X12,$A3:$A12),X12*(AVERAGE(Y4:Y12)+1))</f>
        <v>0.9477097874</v>
      </c>
      <c r="Y13" s="31">
        <f t="shared" si="22"/>
        <v>0.006961650479</v>
      </c>
      <c r="Z13" s="37">
        <f>AVERAGE(FORECAST($A13,Z3:Z12,$A3:$A12),Z12*(AVERAGE(AA4:AA12)+1))</f>
        <v>0.3137639222</v>
      </c>
      <c r="AA13" s="31">
        <f t="shared" si="23"/>
        <v>-0.01149539989</v>
      </c>
      <c r="AB13" s="37">
        <f t="shared" si="10"/>
        <v>0.6339458652</v>
      </c>
      <c r="AC13" s="27">
        <f t="shared" ref="AC13:AF13" si="35">AC12+($AG13-$AG12)/4</f>
        <v>0.2009579828</v>
      </c>
      <c r="AD13" s="27">
        <f t="shared" si="35"/>
        <v>0.09995798281</v>
      </c>
      <c r="AE13" s="27">
        <f t="shared" si="35"/>
        <v>0.1109579828</v>
      </c>
      <c r="AF13" s="27">
        <f t="shared" si="35"/>
        <v>0.06095798281</v>
      </c>
      <c r="AG13" s="24">
        <f t="shared" si="32"/>
        <v>0.4728319313</v>
      </c>
      <c r="AH13" s="38">
        <f t="shared" si="13"/>
        <v>0.5124636232</v>
      </c>
      <c r="AI13" s="21">
        <f t="shared" si="14"/>
        <v>27812.26799</v>
      </c>
      <c r="AJ13" s="30" t="str">
        <f t="shared" si="15"/>
        <v>B</v>
      </c>
      <c r="AK13" s="30" t="str">
        <f t="shared" si="16"/>
        <v>0.51B</v>
      </c>
    </row>
    <row r="14">
      <c r="A14" s="34">
        <v>2030.0</v>
      </c>
      <c r="B14" s="21">
        <f>AVERAGE(FORECAST($A14,B5:B13,$A5:$A13),B13*(AVERAGE(C6:C13)+1))</f>
        <v>141834754671550</v>
      </c>
      <c r="C14" s="24"/>
      <c r="D14" s="22">
        <f>AVERAGE(FORECAST($A14,D5:D13,$A5:$A13),D13*(AVERAGE(E6:E13)+1))</f>
        <v>8586617399</v>
      </c>
      <c r="E14" s="24"/>
      <c r="F14" s="21">
        <f>AVERAGE(FORECAST($A14,F5:F13,$A5:$A13),F13*(AVERAGE(G6:G13)+1))</f>
        <v>2842820672411</v>
      </c>
      <c r="H14" s="22">
        <f>AVERAGE(FORECAST($A14,H5:H13,$A5:$A13),H13*(AVERAGE(I6:I13)+1))</f>
        <v>58216209.86</v>
      </c>
      <c r="J14" s="35">
        <f t="shared" si="2"/>
        <v>0.02004318814</v>
      </c>
      <c r="K14" s="36">
        <f>FORECAST(A14,K3:K13,A3:A13)</f>
        <v>1024518628571</v>
      </c>
      <c r="L14" s="21">
        <f t="shared" si="28"/>
        <v>1208008218430</v>
      </c>
      <c r="M14" s="21">
        <f t="shared" si="34"/>
        <v>183489589859</v>
      </c>
      <c r="N14" s="24">
        <f t="shared" si="4"/>
        <v>0.06454490487</v>
      </c>
      <c r="O14" s="24">
        <f>AVERAGE(FORECAST($A14,O3:O13,$A3:$A13),O13*(AVERAGE(P4:P13)+1))</f>
        <v>1.301566365</v>
      </c>
      <c r="Q14" s="21">
        <f t="shared" si="30"/>
        <v>3700119770186</v>
      </c>
      <c r="R14" s="24">
        <f>FORECAST($A14,R3:R13,$A3:$A13)</f>
        <v>0.02998077143</v>
      </c>
      <c r="S14" s="21">
        <f t="shared" si="6"/>
        <v>110932445088</v>
      </c>
      <c r="T14" s="24">
        <f t="shared" si="7"/>
        <v>0.0390219637</v>
      </c>
      <c r="U14" s="24">
        <f>FORECAST($A14,U3:U13,$A3:$A13)</f>
        <v>0.08137549</v>
      </c>
      <c r="V14" s="21">
        <f t="shared" si="8"/>
        <v>48832.1153</v>
      </c>
      <c r="W14" s="21">
        <f t="shared" si="9"/>
        <v>44858.37799</v>
      </c>
      <c r="X14" s="37">
        <f>AVERAGE(FORECAST($A14,X3:X13,$A3:$A13),X13*(AVERAGE(Y4:Y13)+1))</f>
        <v>0.9541268493</v>
      </c>
      <c r="Z14" s="37">
        <f>AVERAGE(FORECAST($A14,Z3:Z13,$A3:$A13),Z13*(AVERAGE(AA4:AA13)+1))</f>
        <v>0.3100948961</v>
      </c>
      <c r="AB14" s="37">
        <f t="shared" si="10"/>
        <v>0.6440319532</v>
      </c>
      <c r="AC14" s="27">
        <f t="shared" ref="AC14:AF14" si="36">AC13+($AG14-$AG13)/4</f>
        <v>0.206868382</v>
      </c>
      <c r="AD14" s="27">
        <f t="shared" si="36"/>
        <v>0.105868382</v>
      </c>
      <c r="AE14" s="27">
        <f t="shared" si="36"/>
        <v>0.116868382</v>
      </c>
      <c r="AF14" s="27">
        <f t="shared" si="36"/>
        <v>0.06686838195</v>
      </c>
      <c r="AG14" s="24">
        <f t="shared" si="32"/>
        <v>0.4964735278</v>
      </c>
      <c r="AH14" s="38">
        <f t="shared" si="13"/>
        <v>0.5420396571</v>
      </c>
      <c r="AI14" s="21">
        <f t="shared" si="14"/>
        <v>28890.2288</v>
      </c>
      <c r="AJ14" s="30" t="str">
        <f t="shared" si="15"/>
        <v>B</v>
      </c>
      <c r="AK14" s="30" t="str">
        <f t="shared" si="16"/>
        <v>0.54B</v>
      </c>
    </row>
    <row r="16">
      <c r="C16" s="45"/>
      <c r="D16" s="45"/>
      <c r="E16" s="45"/>
      <c r="F16" s="45"/>
      <c r="G16" s="45"/>
      <c r="H16" s="45"/>
      <c r="I16" s="45"/>
      <c r="J16" s="45"/>
      <c r="K16" s="45"/>
      <c r="L16" s="45"/>
      <c r="M16" s="45"/>
    </row>
    <row r="17">
      <c r="C17" s="45"/>
      <c r="D17" s="45"/>
      <c r="E17" s="45"/>
      <c r="F17" s="45"/>
      <c r="G17" s="45"/>
      <c r="H17" s="45"/>
      <c r="I17" s="47"/>
      <c r="J17" s="47"/>
      <c r="K17" s="47"/>
      <c r="L17" s="45"/>
    </row>
    <row r="18">
      <c r="C18" s="45"/>
      <c r="H18" s="46"/>
      <c r="I18" s="46"/>
      <c r="J18" s="46"/>
      <c r="K18" s="46"/>
    </row>
    <row r="19">
      <c r="C19" s="45"/>
      <c r="H19" s="46"/>
      <c r="I19" s="46"/>
      <c r="J19" s="46"/>
      <c r="K19" s="46"/>
    </row>
    <row r="20">
      <c r="C20" s="45"/>
      <c r="H20" s="46"/>
      <c r="I20" s="46"/>
      <c r="J20" s="46"/>
      <c r="K20" s="46"/>
    </row>
    <row r="21">
      <c r="C21" s="45"/>
      <c r="H21" s="46"/>
      <c r="I21" s="46"/>
      <c r="J21" s="46"/>
      <c r="K21" s="46"/>
    </row>
    <row r="22">
      <c r="C22" s="45"/>
      <c r="H22" s="46"/>
      <c r="I22" s="46"/>
      <c r="J22" s="46"/>
      <c r="K22" s="46"/>
    </row>
    <row r="23">
      <c r="C23" s="45"/>
      <c r="H23" s="46"/>
      <c r="I23" s="46"/>
      <c r="J23" s="46"/>
    </row>
  </sheetData>
  <mergeCells count="1">
    <mergeCell ref="B1:AK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18.38"/>
    <col customWidth="1" min="16" max="16" width="18.5"/>
    <col customWidth="1" min="17" max="17" width="16.75"/>
    <col customWidth="1" min="19" max="19" width="14.38"/>
    <col customWidth="1" min="20" max="20" width="20.5"/>
    <col customWidth="1" min="35" max="35" width="19.88"/>
    <col customWidth="1" min="36" max="36" width="16.88"/>
  </cols>
  <sheetData>
    <row r="1">
      <c r="A1" s="1" t="s">
        <v>88</v>
      </c>
      <c r="B1" s="18" t="s">
        <v>120</v>
      </c>
      <c r="AL1" s="18"/>
      <c r="AM1" s="18"/>
      <c r="AN1" s="18"/>
      <c r="AO1" s="18"/>
      <c r="AP1" s="18"/>
      <c r="AQ1" s="18"/>
    </row>
    <row r="2">
      <c r="A2" s="1" t="s">
        <v>90</v>
      </c>
      <c r="B2" s="1" t="s">
        <v>20</v>
      </c>
      <c r="C2" s="1" t="s">
        <v>91</v>
      </c>
      <c r="D2" s="1" t="s">
        <v>92</v>
      </c>
      <c r="E2" s="1" t="s">
        <v>93</v>
      </c>
      <c r="F2" s="1" t="s">
        <v>19</v>
      </c>
      <c r="G2" s="1" t="s">
        <v>94</v>
      </c>
      <c r="H2" s="1" t="s">
        <v>95</v>
      </c>
      <c r="I2" s="1" t="s">
        <v>96</v>
      </c>
      <c r="J2" s="19" t="s">
        <v>97</v>
      </c>
      <c r="K2" s="1" t="s">
        <v>98</v>
      </c>
      <c r="L2" s="1" t="s">
        <v>99</v>
      </c>
      <c r="M2" s="1" t="s">
        <v>100</v>
      </c>
      <c r="N2" s="19" t="s">
        <v>102</v>
      </c>
      <c r="O2" s="1" t="s">
        <v>103</v>
      </c>
      <c r="P2" s="1" t="s">
        <v>104</v>
      </c>
      <c r="Q2" s="1" t="s">
        <v>105</v>
      </c>
      <c r="R2" s="1" t="s">
        <v>106</v>
      </c>
      <c r="S2" s="1" t="s">
        <v>107</v>
      </c>
      <c r="T2" s="19" t="s">
        <v>108</v>
      </c>
      <c r="U2" s="1" t="s">
        <v>25</v>
      </c>
      <c r="V2" s="1" t="s">
        <v>109</v>
      </c>
      <c r="W2" s="19" t="s">
        <v>5</v>
      </c>
      <c r="X2" s="1" t="s">
        <v>29</v>
      </c>
      <c r="Y2" s="1" t="s">
        <v>110</v>
      </c>
      <c r="Z2" s="1" t="s">
        <v>30</v>
      </c>
      <c r="AA2" s="1" t="s">
        <v>111</v>
      </c>
      <c r="AB2" s="19" t="s">
        <v>9</v>
      </c>
      <c r="AC2" s="1" t="s">
        <v>112</v>
      </c>
      <c r="AD2" s="1" t="s">
        <v>113</v>
      </c>
      <c r="AE2" s="1" t="s">
        <v>114</v>
      </c>
      <c r="AF2" s="1" t="s">
        <v>115</v>
      </c>
      <c r="AG2" s="19" t="s">
        <v>116</v>
      </c>
      <c r="AH2" s="20" t="s">
        <v>117</v>
      </c>
      <c r="AI2" s="20" t="s">
        <v>2</v>
      </c>
      <c r="AJ2" s="1" t="s">
        <v>118</v>
      </c>
      <c r="AK2" s="1" t="s">
        <v>119</v>
      </c>
      <c r="AL2" s="1"/>
      <c r="AM2" s="1"/>
      <c r="AN2" s="1"/>
      <c r="AO2" s="1"/>
      <c r="AP2" s="1"/>
      <c r="AQ2" s="1"/>
    </row>
    <row r="3">
      <c r="A3" s="1">
        <v>2019.0</v>
      </c>
      <c r="B3" s="21">
        <f>87.7*1000000000000</f>
        <v>87700000000000</v>
      </c>
      <c r="C3" s="21"/>
      <c r="D3" s="22">
        <f>7.81*10^9</f>
        <v>7810000000</v>
      </c>
      <c r="E3" s="22"/>
      <c r="F3" s="21">
        <v>2.722794E12</v>
      </c>
      <c r="G3" s="21"/>
      <c r="H3" s="32">
        <v>6.7382061E7</v>
      </c>
      <c r="I3" s="22"/>
      <c r="J3" s="23">
        <f t="shared" ref="J3:J14" si="2">F3/B3</f>
        <v>0.03104668187</v>
      </c>
      <c r="K3" s="21">
        <v>9.132091E11</v>
      </c>
      <c r="L3" s="21">
        <v>8.955148E11</v>
      </c>
      <c r="M3" s="21">
        <f t="shared" ref="M3:M8" si="3">L3-K3</f>
        <v>-17694300000</v>
      </c>
      <c r="N3" s="23">
        <f t="shared" ref="N3:N14" si="4">M3/F3</f>
        <v>-0.006498581971</v>
      </c>
      <c r="O3" s="31">
        <v>0.979</v>
      </c>
      <c r="P3" s="24"/>
      <c r="Q3" s="21">
        <f t="shared" ref="Q3:Q8" si="5">O3*F3</f>
        <v>2665615326000</v>
      </c>
      <c r="R3" s="31">
        <v>0.0</v>
      </c>
      <c r="S3" s="21">
        <f t="shared" ref="S3:S14" si="6">Q3*R3</f>
        <v>0</v>
      </c>
      <c r="T3" s="23">
        <f t="shared" ref="T3:T14" si="7">S3/F3</f>
        <v>0</v>
      </c>
      <c r="U3" s="24">
        <v>0.01108255</v>
      </c>
      <c r="V3" s="21">
        <f t="shared" ref="V3:V14" si="8">F3/H3</f>
        <v>40408.29205</v>
      </c>
      <c r="W3" s="25">
        <f t="shared" ref="W3:W14" si="9">V3*(1-U3)</f>
        <v>39960.46514</v>
      </c>
      <c r="X3" s="3">
        <v>0.89</v>
      </c>
      <c r="Y3" s="3"/>
      <c r="Z3" s="41">
        <v>0.312</v>
      </c>
      <c r="AA3" s="3"/>
      <c r="AB3" s="26">
        <f t="shared" ref="AB3:AB14" si="10">X3-Z3</f>
        <v>0.578</v>
      </c>
      <c r="AC3" s="27">
        <f t="shared" ref="AC3:AF3" si="1">AC4+($AG3-$AG4)/4</f>
        <v>0.168542162</v>
      </c>
      <c r="AD3" s="27">
        <f t="shared" si="1"/>
        <v>0.08954216201</v>
      </c>
      <c r="AE3" s="27">
        <f t="shared" si="1"/>
        <v>0.06854216201</v>
      </c>
      <c r="AF3" s="27">
        <f t="shared" si="1"/>
        <v>0.02254216201</v>
      </c>
      <c r="AG3" s="23">
        <f t="shared" ref="AG3:AG8" si="12">AG4*95%</f>
        <v>0.349168648</v>
      </c>
      <c r="AH3" s="39">
        <f t="shared" ref="AH3:AH14" si="13">AG3+J3+N3-T3</f>
        <v>0.3737167479</v>
      </c>
      <c r="AI3" s="29">
        <f t="shared" ref="AI3:AI14" si="14">W3*AB3</f>
        <v>23097.14885</v>
      </c>
      <c r="AJ3" s="30" t="str">
        <f t="shared" ref="AJ3:AJ14" si="15">IFS(
AI3&lt;=2500,"D-",
AI3&lt;=5000,"D",
AI3&lt;=10000,"D+",
AI3&lt;=12500,"C-",
AI3&lt;=15000,"C",
AI3&lt;=20000,"C+",
AI3&lt;=25000,"B-",
AI3&lt;=30000,"B",
AI3&lt;=35000,"B+",
AI3&lt;=40000,"A-",
AI3&lt;=50000,"A",
AI3&lt;=100000,"A+",
TRUE,"Out of range"
)
</f>
        <v>B-</v>
      </c>
      <c r="AK3" s="30" t="str">
        <f t="shared" ref="AK3:AK14" si="16">CONCAT(ROUND(AH3,2),AJ3)</f>
        <v>0.37B-</v>
      </c>
    </row>
    <row r="4">
      <c r="A4" s="1">
        <v>2020.0</v>
      </c>
      <c r="B4" s="21">
        <f>84.75*1000000000000</f>
        <v>84750000000000</v>
      </c>
      <c r="C4" s="24">
        <f t="shared" ref="C4:C13" si="17">(B4-B3)/B3</f>
        <v>-0.03363740023</v>
      </c>
      <c r="D4" s="22">
        <f>7.89*10^9</f>
        <v>7890000000</v>
      </c>
      <c r="E4" s="24">
        <f t="shared" ref="E4:E13" si="18">(D4-D3)/D3</f>
        <v>0.01024327785</v>
      </c>
      <c r="F4" s="21">
        <v>2.647926E12</v>
      </c>
      <c r="G4" s="24">
        <f t="shared" ref="G4:G13" si="19">(F4-F3)/F3</f>
        <v>-0.02749675517</v>
      </c>
      <c r="H4" s="32">
        <v>6.760111E7</v>
      </c>
      <c r="I4" s="24">
        <f t="shared" ref="I4:I13" si="20">(H4-H3)/H3</f>
        <v>0.003250850401</v>
      </c>
      <c r="J4" s="23">
        <f t="shared" si="2"/>
        <v>0.0312439646</v>
      </c>
      <c r="K4" s="21">
        <v>8.018362E11</v>
      </c>
      <c r="L4" s="21">
        <v>7.561741E11</v>
      </c>
      <c r="M4" s="21">
        <f t="shared" si="3"/>
        <v>-45662100000</v>
      </c>
      <c r="N4" s="23">
        <f t="shared" si="4"/>
        <v>-0.01724447738</v>
      </c>
      <c r="O4" s="31">
        <v>1.149</v>
      </c>
      <c r="P4" s="24">
        <f t="shared" ref="P4:P13" si="21">(O4-O3)/O3</f>
        <v>0.1736465781</v>
      </c>
      <c r="Q4" s="21">
        <f t="shared" si="5"/>
        <v>3042466974000</v>
      </c>
      <c r="R4" s="31">
        <v>0.0</v>
      </c>
      <c r="S4" s="21">
        <f t="shared" si="6"/>
        <v>0</v>
      </c>
      <c r="T4" s="23">
        <f t="shared" si="7"/>
        <v>0</v>
      </c>
      <c r="U4" s="24">
        <v>0.00476499</v>
      </c>
      <c r="V4" s="21">
        <f t="shared" si="8"/>
        <v>39169.85978</v>
      </c>
      <c r="W4" s="25">
        <f t="shared" si="9"/>
        <v>38983.21579</v>
      </c>
      <c r="X4" s="3">
        <v>0.9</v>
      </c>
      <c r="Y4" s="31">
        <f t="shared" ref="Y4:Y13" si="22">(X4-X3)/X3</f>
        <v>0.01123595506</v>
      </c>
      <c r="Z4" s="41">
        <v>0.307</v>
      </c>
      <c r="AA4" s="31">
        <f t="shared" ref="AA4:AA13" si="23">(Z4-Z3)/Z4</f>
        <v>-0.01628664495</v>
      </c>
      <c r="AB4" s="26">
        <f t="shared" si="10"/>
        <v>0.593</v>
      </c>
      <c r="AC4" s="27">
        <f t="shared" ref="AC4:AF4" si="11">AC5+($AG4-$AG5)/4</f>
        <v>0.1731364863</v>
      </c>
      <c r="AD4" s="27">
        <f t="shared" si="11"/>
        <v>0.09413648633</v>
      </c>
      <c r="AE4" s="27">
        <f t="shared" si="11"/>
        <v>0.07313648633</v>
      </c>
      <c r="AF4" s="27">
        <f t="shared" si="11"/>
        <v>0.02713648633</v>
      </c>
      <c r="AG4" s="23">
        <f t="shared" si="12"/>
        <v>0.3675459453</v>
      </c>
      <c r="AH4" s="39">
        <f t="shared" si="13"/>
        <v>0.3815454325</v>
      </c>
      <c r="AI4" s="29">
        <f t="shared" si="14"/>
        <v>23117.04697</v>
      </c>
      <c r="AJ4" s="30" t="str">
        <f t="shared" si="15"/>
        <v>B-</v>
      </c>
      <c r="AK4" s="30" t="str">
        <f t="shared" si="16"/>
        <v>0.38B-</v>
      </c>
    </row>
    <row r="5">
      <c r="A5" s="1">
        <v>2021.0</v>
      </c>
      <c r="B5" s="21">
        <f>96.14*1000000000000</f>
        <v>96140000000000</v>
      </c>
      <c r="C5" s="24">
        <f t="shared" si="17"/>
        <v>0.1343952802</v>
      </c>
      <c r="D5" s="22">
        <f>7.95*10^9</f>
        <v>7950000000</v>
      </c>
      <c r="E5" s="24">
        <f t="shared" si="18"/>
        <v>0.007604562738</v>
      </c>
      <c r="F5" s="21">
        <v>2.966434E12</v>
      </c>
      <c r="G5" s="24">
        <f t="shared" si="19"/>
        <v>0.1202858388</v>
      </c>
      <c r="H5" s="32">
        <v>6.7842811E7</v>
      </c>
      <c r="I5" s="24">
        <f t="shared" si="20"/>
        <v>0.003575399871</v>
      </c>
      <c r="J5" s="23">
        <f t="shared" si="2"/>
        <v>0.03085535677</v>
      </c>
      <c r="K5" s="21">
        <v>9.641038E11</v>
      </c>
      <c r="L5" s="21">
        <v>9.281393E11</v>
      </c>
      <c r="M5" s="21">
        <f t="shared" si="3"/>
        <v>-35964500000</v>
      </c>
      <c r="N5" s="23">
        <f t="shared" si="4"/>
        <v>-0.012123816</v>
      </c>
      <c r="O5" s="31">
        <v>1.131</v>
      </c>
      <c r="P5" s="24">
        <f t="shared" si="21"/>
        <v>-0.01566579634</v>
      </c>
      <c r="Q5" s="21">
        <f t="shared" si="5"/>
        <v>3355036854000</v>
      </c>
      <c r="R5" s="31">
        <v>0.0</v>
      </c>
      <c r="S5" s="21">
        <f t="shared" si="6"/>
        <v>0</v>
      </c>
      <c r="T5" s="23">
        <f t="shared" si="7"/>
        <v>0</v>
      </c>
      <c r="U5" s="24">
        <v>0.01642331</v>
      </c>
      <c r="V5" s="21">
        <f t="shared" si="8"/>
        <v>43725.10449</v>
      </c>
      <c r="W5" s="25">
        <f t="shared" si="9"/>
        <v>43006.99355</v>
      </c>
      <c r="X5" s="3">
        <v>0.9</v>
      </c>
      <c r="Y5" s="31">
        <f t="shared" si="22"/>
        <v>0</v>
      </c>
      <c r="Z5" s="41">
        <v>0.315</v>
      </c>
      <c r="AA5" s="31">
        <f t="shared" si="23"/>
        <v>0.0253968254</v>
      </c>
      <c r="AB5" s="26">
        <f t="shared" si="10"/>
        <v>0.585</v>
      </c>
      <c r="AC5" s="27">
        <f t="shared" ref="AC5:AF5" si="24">AC6+($AG5-$AG6)/4</f>
        <v>0.1779726172</v>
      </c>
      <c r="AD5" s="27">
        <f t="shared" si="24"/>
        <v>0.09897261719</v>
      </c>
      <c r="AE5" s="27">
        <f t="shared" si="24"/>
        <v>0.07797261719</v>
      </c>
      <c r="AF5" s="27">
        <f t="shared" si="24"/>
        <v>0.03197261719</v>
      </c>
      <c r="AG5" s="23">
        <f t="shared" si="12"/>
        <v>0.3868904688</v>
      </c>
      <c r="AH5" s="39">
        <f t="shared" si="13"/>
        <v>0.4056220095</v>
      </c>
      <c r="AI5" s="29">
        <f t="shared" si="14"/>
        <v>25159.09122</v>
      </c>
      <c r="AJ5" s="30" t="str">
        <f t="shared" si="15"/>
        <v>B</v>
      </c>
      <c r="AK5" s="30" t="str">
        <f t="shared" si="16"/>
        <v>0.41B</v>
      </c>
    </row>
    <row r="6">
      <c r="A6" s="1">
        <v>2022.0</v>
      </c>
      <c r="B6" s="21">
        <f>101.56*1000000000000</f>
        <v>101560000000000</v>
      </c>
      <c r="C6" s="24">
        <f t="shared" si="17"/>
        <v>0.05637611816</v>
      </c>
      <c r="D6" s="22">
        <f>8.02*10^9</f>
        <v>8020000000</v>
      </c>
      <c r="E6" s="24">
        <f t="shared" si="18"/>
        <v>0.008805031447</v>
      </c>
      <c r="F6" s="21">
        <v>2.794788E12</v>
      </c>
      <c r="G6" s="24">
        <f t="shared" si="19"/>
        <v>-0.05786274025</v>
      </c>
      <c r="H6" s="32">
        <v>6.8184457E7</v>
      </c>
      <c r="I6" s="24">
        <f t="shared" si="20"/>
        <v>0.005035846761</v>
      </c>
      <c r="J6" s="23">
        <f t="shared" si="2"/>
        <v>0.02751859</v>
      </c>
      <c r="K6" s="21">
        <v>1.099664E12</v>
      </c>
      <c r="L6" s="21">
        <v>1.023341E12</v>
      </c>
      <c r="M6" s="21">
        <f t="shared" si="3"/>
        <v>-76323000000</v>
      </c>
      <c r="N6" s="23">
        <f t="shared" si="4"/>
        <v>-0.02730904813</v>
      </c>
      <c r="O6" s="31">
        <v>1.114</v>
      </c>
      <c r="P6" s="24">
        <f t="shared" si="21"/>
        <v>-0.01503094607</v>
      </c>
      <c r="Q6" s="21">
        <f t="shared" si="5"/>
        <v>3113393832000</v>
      </c>
      <c r="R6" s="31">
        <v>0.025</v>
      </c>
      <c r="S6" s="21">
        <f t="shared" si="6"/>
        <v>77834845800</v>
      </c>
      <c r="T6" s="23">
        <f t="shared" si="7"/>
        <v>0.02785</v>
      </c>
      <c r="U6" s="24">
        <v>0.05222367</v>
      </c>
      <c r="V6" s="21">
        <f t="shared" si="8"/>
        <v>40988.63763</v>
      </c>
      <c r="W6" s="25">
        <f t="shared" si="9"/>
        <v>38848.06055</v>
      </c>
      <c r="X6" s="3">
        <v>0.91</v>
      </c>
      <c r="Y6" s="31">
        <f t="shared" si="22"/>
        <v>0.01111111111</v>
      </c>
      <c r="Z6" s="41">
        <v>0.312</v>
      </c>
      <c r="AA6" s="31">
        <f t="shared" si="23"/>
        <v>-0.009615384615</v>
      </c>
      <c r="AB6" s="26">
        <f t="shared" si="10"/>
        <v>0.598</v>
      </c>
      <c r="AC6" s="27">
        <f t="shared" ref="AC6:AF6" si="25">AC7+($AG6-$AG7)/4</f>
        <v>0.1830632813</v>
      </c>
      <c r="AD6" s="27">
        <f t="shared" si="25"/>
        <v>0.1040632813</v>
      </c>
      <c r="AE6" s="27">
        <f t="shared" si="25"/>
        <v>0.08306328125</v>
      </c>
      <c r="AF6" s="27">
        <f t="shared" si="25"/>
        <v>0.03706328125</v>
      </c>
      <c r="AG6" s="23">
        <f t="shared" si="12"/>
        <v>0.407253125</v>
      </c>
      <c r="AH6" s="39">
        <f t="shared" si="13"/>
        <v>0.3796126669</v>
      </c>
      <c r="AI6" s="29">
        <f t="shared" si="14"/>
        <v>23231.14021</v>
      </c>
      <c r="AJ6" s="30" t="str">
        <f t="shared" si="15"/>
        <v>B-</v>
      </c>
      <c r="AK6" s="30" t="str">
        <f t="shared" si="16"/>
        <v>0.38B-</v>
      </c>
    </row>
    <row r="7">
      <c r="A7" s="1">
        <v>2023.0</v>
      </c>
      <c r="B7" s="21">
        <f>106.8*1000000000000</f>
        <v>106800000000000</v>
      </c>
      <c r="C7" s="24">
        <f t="shared" si="17"/>
        <v>0.05159511619</v>
      </c>
      <c r="D7" s="32">
        <f>8.09*10^9</f>
        <v>8090000000</v>
      </c>
      <c r="E7" s="24">
        <f t="shared" si="18"/>
        <v>0.008728179551</v>
      </c>
      <c r="F7" s="21">
        <v>3.056251E12</v>
      </c>
      <c r="G7" s="24">
        <f t="shared" si="19"/>
        <v>0.09355378655</v>
      </c>
      <c r="H7" s="32">
        <v>6.8372286E7</v>
      </c>
      <c r="I7" s="24">
        <f t="shared" si="20"/>
        <v>0.002754718718</v>
      </c>
      <c r="J7" s="23">
        <f t="shared" si="2"/>
        <v>0.0286165824</v>
      </c>
      <c r="K7" s="21">
        <v>1.105442E12</v>
      </c>
      <c r="L7" s="21">
        <v>1.05307E12</v>
      </c>
      <c r="M7" s="21">
        <f t="shared" si="3"/>
        <v>-52372000000</v>
      </c>
      <c r="N7" s="23">
        <f t="shared" si="4"/>
        <v>-0.01713602711</v>
      </c>
      <c r="O7" s="31">
        <v>1.098</v>
      </c>
      <c r="P7" s="24">
        <f t="shared" si="21"/>
        <v>-0.01436265709</v>
      </c>
      <c r="Q7" s="21">
        <f t="shared" si="5"/>
        <v>3355763598000</v>
      </c>
      <c r="R7" s="31">
        <v>0.045</v>
      </c>
      <c r="S7" s="21">
        <f t="shared" si="6"/>
        <v>151009361910</v>
      </c>
      <c r="T7" s="23">
        <f t="shared" si="7"/>
        <v>0.04941</v>
      </c>
      <c r="U7" s="24">
        <v>0.048783570000000005</v>
      </c>
      <c r="V7" s="21">
        <f t="shared" si="8"/>
        <v>44700.14356</v>
      </c>
      <c r="W7" s="25">
        <f t="shared" si="9"/>
        <v>42519.51098</v>
      </c>
      <c r="X7" s="3">
        <v>0.91</v>
      </c>
      <c r="Y7" s="31">
        <f t="shared" si="22"/>
        <v>0</v>
      </c>
      <c r="Z7" s="41">
        <v>0.318</v>
      </c>
      <c r="AA7" s="31">
        <f t="shared" si="23"/>
        <v>0.01886792453</v>
      </c>
      <c r="AB7" s="26">
        <f t="shared" si="10"/>
        <v>0.592</v>
      </c>
      <c r="AC7" s="27">
        <f t="shared" ref="AC7:AF7" si="26">AC8+($AG7-$AG8)/4</f>
        <v>0.188421875</v>
      </c>
      <c r="AD7" s="27">
        <f t="shared" si="26"/>
        <v>0.109421875</v>
      </c>
      <c r="AE7" s="27">
        <f t="shared" si="26"/>
        <v>0.088421875</v>
      </c>
      <c r="AF7" s="27">
        <f t="shared" si="26"/>
        <v>0.042421875</v>
      </c>
      <c r="AG7" s="23">
        <f t="shared" si="12"/>
        <v>0.4286875</v>
      </c>
      <c r="AH7" s="39">
        <f t="shared" si="13"/>
        <v>0.3907580553</v>
      </c>
      <c r="AI7" s="29">
        <f t="shared" si="14"/>
        <v>25171.5505</v>
      </c>
      <c r="AJ7" s="30" t="str">
        <f t="shared" si="15"/>
        <v>B</v>
      </c>
      <c r="AK7" s="30" t="str">
        <f t="shared" si="16"/>
        <v>0.39B</v>
      </c>
    </row>
    <row r="8">
      <c r="A8" s="1">
        <v>2024.0</v>
      </c>
      <c r="B8" s="21">
        <f>112.6*1000000000000</f>
        <v>112600000000000</v>
      </c>
      <c r="C8" s="24">
        <f t="shared" si="17"/>
        <v>0.0543071161</v>
      </c>
      <c r="D8" s="32">
        <v>8.161972572E9</v>
      </c>
      <c r="E8" s="24">
        <f t="shared" si="18"/>
        <v>0.008896486032</v>
      </c>
      <c r="F8" s="21">
        <v>3.160443E12</v>
      </c>
      <c r="G8" s="24">
        <f t="shared" si="19"/>
        <v>0.03409144079</v>
      </c>
      <c r="H8" s="32">
        <v>6.8551653E7</v>
      </c>
      <c r="I8" s="24">
        <f t="shared" si="20"/>
        <v>0.002623387494</v>
      </c>
      <c r="J8" s="23">
        <f t="shared" si="2"/>
        <v>0.02806787744</v>
      </c>
      <c r="K8" s="21">
        <v>1.081454E12</v>
      </c>
      <c r="L8" s="21">
        <v>1.071066E12</v>
      </c>
      <c r="M8" s="21">
        <f t="shared" si="3"/>
        <v>-10388000000</v>
      </c>
      <c r="N8" s="23">
        <f t="shared" si="4"/>
        <v>-0.003286880985</v>
      </c>
      <c r="O8" s="31">
        <v>1.13</v>
      </c>
      <c r="P8" s="24">
        <f t="shared" si="21"/>
        <v>0.029143898</v>
      </c>
      <c r="Q8" s="21">
        <f t="shared" si="5"/>
        <v>3571300590000</v>
      </c>
      <c r="R8" s="31">
        <v>0.0315</v>
      </c>
      <c r="S8" s="21">
        <f t="shared" si="6"/>
        <v>112495968585</v>
      </c>
      <c r="T8" s="23">
        <f t="shared" si="7"/>
        <v>0.035595</v>
      </c>
      <c r="U8" s="24">
        <v>0.01999049</v>
      </c>
      <c r="V8" s="21">
        <f t="shared" si="8"/>
        <v>46103.08959</v>
      </c>
      <c r="W8" s="25">
        <f t="shared" si="9"/>
        <v>45181.46624</v>
      </c>
      <c r="X8" s="43">
        <v>0.92</v>
      </c>
      <c r="Y8" s="31">
        <f t="shared" si="22"/>
        <v>0.01098901099</v>
      </c>
      <c r="Z8" s="41">
        <f>AVERAGE(Z7,Z9)</f>
        <v>0.308</v>
      </c>
      <c r="AA8" s="31">
        <f t="shared" si="23"/>
        <v>-0.03246753247</v>
      </c>
      <c r="AB8" s="26">
        <f t="shared" si="10"/>
        <v>0.612</v>
      </c>
      <c r="AC8" s="27">
        <f t="shared" ref="AC8:AF8" si="27">AC9+($AG8-$AG9)/4</f>
        <v>0.1940625</v>
      </c>
      <c r="AD8" s="27">
        <f t="shared" si="27"/>
        <v>0.1150625</v>
      </c>
      <c r="AE8" s="27">
        <f t="shared" si="27"/>
        <v>0.0940625</v>
      </c>
      <c r="AF8" s="27">
        <f t="shared" si="27"/>
        <v>0.0480625</v>
      </c>
      <c r="AG8" s="23">
        <f t="shared" si="12"/>
        <v>0.45125</v>
      </c>
      <c r="AH8" s="39">
        <f t="shared" si="13"/>
        <v>0.4404359965</v>
      </c>
      <c r="AI8" s="29">
        <f t="shared" si="14"/>
        <v>27651.05734</v>
      </c>
      <c r="AJ8" s="30" t="str">
        <f t="shared" si="15"/>
        <v>B</v>
      </c>
      <c r="AK8" s="30" t="str">
        <f t="shared" si="16"/>
        <v>0.44B</v>
      </c>
    </row>
    <row r="9">
      <c r="A9" s="1">
        <v>2025.0</v>
      </c>
      <c r="B9" s="33">
        <v>1.13795678E14</v>
      </c>
      <c r="C9" s="24">
        <f t="shared" si="17"/>
        <v>0.01061880995</v>
      </c>
      <c r="D9" s="32">
        <v>8.23161307E9</v>
      </c>
      <c r="E9" s="24">
        <f t="shared" si="18"/>
        <v>0.008532312181</v>
      </c>
      <c r="F9" s="33">
        <v>3.211E12</v>
      </c>
      <c r="G9" s="24">
        <f t="shared" si="19"/>
        <v>0.01599680804</v>
      </c>
      <c r="H9" s="32">
        <v>6.86E7</v>
      </c>
      <c r="I9" s="24">
        <f t="shared" si="20"/>
        <v>0.0007052638103</v>
      </c>
      <c r="J9" s="23">
        <f t="shared" si="2"/>
        <v>0.02821724038</v>
      </c>
      <c r="K9" s="33">
        <f>1996000000000/2</f>
        <v>998000000000</v>
      </c>
      <c r="L9" s="21">
        <f t="shared" ref="L9:L14" si="28">K9+M9</f>
        <v>885000000000</v>
      </c>
      <c r="M9" s="33">
        <v>-1.13E11</v>
      </c>
      <c r="N9" s="23">
        <f t="shared" si="4"/>
        <v>-0.03519152912</v>
      </c>
      <c r="O9" s="24">
        <f>Q9/F9</f>
        <v>1.13</v>
      </c>
      <c r="P9" s="24">
        <f t="shared" si="21"/>
        <v>0</v>
      </c>
      <c r="Q9" s="33">
        <v>3.62843E12</v>
      </c>
      <c r="R9" s="31">
        <v>0.0215</v>
      </c>
      <c r="S9" s="21">
        <f t="shared" si="6"/>
        <v>78011245000</v>
      </c>
      <c r="T9" s="23">
        <f t="shared" si="7"/>
        <v>0.024295</v>
      </c>
      <c r="U9" s="31">
        <v>0.02</v>
      </c>
      <c r="V9" s="21">
        <f t="shared" si="8"/>
        <v>46807.58017</v>
      </c>
      <c r="W9" s="25">
        <f t="shared" si="9"/>
        <v>45871.42857</v>
      </c>
      <c r="X9" s="43">
        <v>0.92</v>
      </c>
      <c r="Y9" s="31">
        <f t="shared" si="22"/>
        <v>0</v>
      </c>
      <c r="Z9" s="41">
        <v>0.298</v>
      </c>
      <c r="AA9" s="31">
        <f t="shared" si="23"/>
        <v>-0.03355704698</v>
      </c>
      <c r="AB9" s="26">
        <f t="shared" si="10"/>
        <v>0.622</v>
      </c>
      <c r="AC9" s="31">
        <v>0.2</v>
      </c>
      <c r="AD9" s="31">
        <v>0.121</v>
      </c>
      <c r="AE9" s="31">
        <v>0.1</v>
      </c>
      <c r="AF9" s="31">
        <v>0.054</v>
      </c>
      <c r="AG9" s="23">
        <f>SUM(AC9:AF9)</f>
        <v>0.475</v>
      </c>
      <c r="AH9" s="39">
        <f t="shared" si="13"/>
        <v>0.4437307113</v>
      </c>
      <c r="AI9" s="29">
        <f t="shared" si="14"/>
        <v>28532.02857</v>
      </c>
      <c r="AJ9" s="30" t="str">
        <f t="shared" si="15"/>
        <v>B</v>
      </c>
      <c r="AK9" s="30" t="str">
        <f t="shared" si="16"/>
        <v>0.44B</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3306075136304</v>
      </c>
      <c r="G10" s="24">
        <f t="shared" si="19"/>
        <v>0.02960919848</v>
      </c>
      <c r="H10" s="22">
        <f>AVERAGE(FORECAST(A10,H3:H9,$A$3:$A$9),H9*(AVERAGE(I4:I9)+1))</f>
        <v>68875356.54</v>
      </c>
      <c r="I10" s="24">
        <f t="shared" si="20"/>
        <v>0.004013943718</v>
      </c>
      <c r="J10" s="35">
        <f t="shared" si="2"/>
        <v>0.02753598378</v>
      </c>
      <c r="K10" s="36">
        <f>FORECAST(A10,K3:K9,A3:A9)</f>
        <v>1131236514286</v>
      </c>
      <c r="L10" s="36">
        <f t="shared" si="28"/>
        <v>1047925042857</v>
      </c>
      <c r="M10" s="21">
        <f>FORECAST(A10,M3:M9,$A$3:$A$9)</f>
        <v>-83311471429</v>
      </c>
      <c r="N10" s="24">
        <f t="shared" si="4"/>
        <v>-0.02519950939</v>
      </c>
      <c r="O10" s="24">
        <f>AVERAGE(FORECAST(A10,O3:O9,$A$3:$A$9),O9*(AVERAGE(P4:P9)+1))</f>
        <v>1.15935301</v>
      </c>
      <c r="P10" s="24">
        <f t="shared" si="21"/>
        <v>0.02597611479</v>
      </c>
      <c r="Q10" s="21">
        <f t="shared" ref="Q10:Q14" si="30">O10*F10</f>
        <v>3832908159622</v>
      </c>
      <c r="R10" s="24">
        <f>FORECAST(A10,R3:R9,$A$3:$A$9)</f>
        <v>0.04221428571</v>
      </c>
      <c r="S10" s="21">
        <f t="shared" si="6"/>
        <v>161803480167</v>
      </c>
      <c r="T10" s="24">
        <f t="shared" si="7"/>
        <v>0.0489412592</v>
      </c>
      <c r="U10" s="24">
        <f>FORECAST(A10,U3:U9,$A$3:$A$9)</f>
        <v>0.03754745571</v>
      </c>
      <c r="V10" s="21">
        <f t="shared" si="8"/>
        <v>48000.84243</v>
      </c>
      <c r="W10" s="21">
        <f t="shared" si="9"/>
        <v>46198.53292</v>
      </c>
      <c r="X10" s="37">
        <f>AVERAGE(FORECAST(A10,X3:X9,$A$3:$A$9),X9*(AVERAGE(Y4:Y9)+1))</f>
        <v>0.9261271945</v>
      </c>
      <c r="Y10" s="31">
        <f t="shared" si="22"/>
        <v>0.006659994007</v>
      </c>
      <c r="Z10" s="38">
        <f>AVERAGE(FORECAST(A10,Z3:Z9,$A$3:$A$9),Z9*(AVERAGE(AA4:AA9)+1))</f>
        <v>0.30017354</v>
      </c>
      <c r="AA10" s="31">
        <f t="shared" si="23"/>
        <v>0.007240944765</v>
      </c>
      <c r="AB10" s="37">
        <f t="shared" si="10"/>
        <v>0.6259536545</v>
      </c>
      <c r="AC10" s="27">
        <f t="shared" ref="AC10:AF10" si="29">AC9+($AG10-$AG9)/4</f>
        <v>0.2059375</v>
      </c>
      <c r="AD10" s="27">
        <f t="shared" si="29"/>
        <v>0.1269375</v>
      </c>
      <c r="AE10" s="27">
        <f t="shared" si="29"/>
        <v>0.1059375</v>
      </c>
      <c r="AF10" s="27">
        <f t="shared" si="29"/>
        <v>0.0599375</v>
      </c>
      <c r="AG10" s="24">
        <f t="shared" ref="AG10:AG14" si="32">AG9*1.05</f>
        <v>0.49875</v>
      </c>
      <c r="AH10" s="38">
        <f t="shared" si="13"/>
        <v>0.4521452152</v>
      </c>
      <c r="AI10" s="21">
        <f t="shared" si="14"/>
        <v>28918.14051</v>
      </c>
      <c r="AJ10" s="30" t="str">
        <f t="shared" si="15"/>
        <v>B</v>
      </c>
      <c r="AK10" s="30" t="str">
        <f t="shared" si="16"/>
        <v>0.45B</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3401175670945</v>
      </c>
      <c r="G11" s="24">
        <f t="shared" si="19"/>
        <v>0.02876538818</v>
      </c>
      <c r="H11" s="22">
        <f>AVERAGE(FORECAST($A11,H3:H10,$A3:$A10),H10*(AVERAGE(I4:I10)+1))</f>
        <v>69109584.17</v>
      </c>
      <c r="I11" s="24">
        <f t="shared" si="20"/>
        <v>0.003400746575</v>
      </c>
      <c r="J11" s="35">
        <f t="shared" si="2"/>
        <v>0.02705023273</v>
      </c>
      <c r="K11" s="36">
        <f>FORECAST(A11,K3:K10,A3:A10)</f>
        <v>1165341746429</v>
      </c>
      <c r="L11" s="21">
        <f t="shared" si="28"/>
        <v>1073752546429</v>
      </c>
      <c r="M11" s="21">
        <f>FORECAST($A11,M3:M10,$A3:$A10)</f>
        <v>-91589200000</v>
      </c>
      <c r="N11" s="24">
        <f t="shared" si="4"/>
        <v>-0.02692868845</v>
      </c>
      <c r="O11" s="24">
        <f>AVERAGE(FORECAST($A11,O3:O10,$A3:$A10),O10*(AVERAGE(P4:P10)+1))</f>
        <v>1.181299149</v>
      </c>
      <c r="P11" s="24">
        <f t="shared" si="21"/>
        <v>0.01892964368</v>
      </c>
      <c r="Q11" s="21">
        <f t="shared" si="30"/>
        <v>4017805926006</v>
      </c>
      <c r="R11" s="24">
        <f>FORECAST($A11,R3:R10,$A3:$A10)</f>
        <v>0.048375</v>
      </c>
      <c r="S11" s="21">
        <f t="shared" si="6"/>
        <v>194361361671</v>
      </c>
      <c r="T11" s="24">
        <f t="shared" si="7"/>
        <v>0.05714534634</v>
      </c>
      <c r="U11" s="24">
        <f>FORECAST($A11,U3:U10,$A3:$A10)</f>
        <v>0.04074615607</v>
      </c>
      <c r="V11" s="21">
        <f t="shared" si="8"/>
        <v>49214.24013</v>
      </c>
      <c r="W11" s="21">
        <f t="shared" si="9"/>
        <v>47208.94902</v>
      </c>
      <c r="X11" s="37">
        <f>AVERAGE(FORECAST($A11,X3:X10,$A3:$A10),X10*(AVERAGE(Y4:Y10)+1))</f>
        <v>0.9315269279</v>
      </c>
      <c r="Y11" s="31">
        <f t="shared" si="22"/>
        <v>0.005830444775</v>
      </c>
      <c r="Z11" s="38">
        <f>AVERAGE(FORECAST($A11,Z3:Z10,$A3:$A10),Z10*(AVERAGE(AA4:AA10)+1))</f>
        <v>0.2997813487</v>
      </c>
      <c r="AA11" s="31">
        <f t="shared" si="23"/>
        <v>-0.001308258038</v>
      </c>
      <c r="AB11" s="37">
        <f t="shared" si="10"/>
        <v>0.6317455793</v>
      </c>
      <c r="AC11" s="27">
        <f t="shared" ref="AC11:AF11" si="31">AC10+($AG11-$AG10)/4</f>
        <v>0.212171875</v>
      </c>
      <c r="AD11" s="27">
        <f t="shared" si="31"/>
        <v>0.133171875</v>
      </c>
      <c r="AE11" s="27">
        <f t="shared" si="31"/>
        <v>0.112171875</v>
      </c>
      <c r="AF11" s="27">
        <f t="shared" si="31"/>
        <v>0.066171875</v>
      </c>
      <c r="AG11" s="24">
        <f t="shared" si="32"/>
        <v>0.5236875</v>
      </c>
      <c r="AH11" s="38">
        <f t="shared" si="13"/>
        <v>0.4666636979</v>
      </c>
      <c r="AI11" s="21">
        <f t="shared" si="14"/>
        <v>29824.04485</v>
      </c>
      <c r="AJ11" s="30" t="str">
        <f t="shared" si="15"/>
        <v>B</v>
      </c>
      <c r="AK11" s="30" t="str">
        <f t="shared" si="16"/>
        <v>0.47B</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3496731049768</v>
      </c>
      <c r="G12" s="24">
        <f t="shared" si="19"/>
        <v>0.0280948084</v>
      </c>
      <c r="H12" s="22">
        <f>AVERAGE(FORECAST($A12,H3:H11,$A3:$A11),H11*(AVERAGE(I4:I11)+1))</f>
        <v>69329893.87</v>
      </c>
      <c r="I12" s="24">
        <f t="shared" si="20"/>
        <v>0.003187831334</v>
      </c>
      <c r="J12" s="35">
        <f t="shared" si="2"/>
        <v>0.02664430966</v>
      </c>
      <c r="K12" s="36">
        <f>FORECAST(A12,K3:K11,A3:A11)</f>
        <v>1199446978571</v>
      </c>
      <c r="L12" s="21">
        <f t="shared" si="28"/>
        <v>1099580050000</v>
      </c>
      <c r="M12" s="21">
        <f t="shared" ref="M12:M14" si="34">FORECAST($A12,M3:M11,$A3:$A11)</f>
        <v>-99866928571</v>
      </c>
      <c r="N12" s="24">
        <f t="shared" si="4"/>
        <v>-0.02856008287</v>
      </c>
      <c r="O12" s="24">
        <f>AVERAGE(FORECAST($A12,O3:O11,$A3:$A11),O11*(AVERAGE(P4:P11)+1))</f>
        <v>1.20074071</v>
      </c>
      <c r="P12" s="24">
        <f t="shared" si="21"/>
        <v>0.01645777953</v>
      </c>
      <c r="Q12" s="21">
        <f t="shared" si="30"/>
        <v>4198667323534</v>
      </c>
      <c r="R12" s="24">
        <f>FORECAST($A12,R3:R11,$A3:$A11)</f>
        <v>0.05453571429</v>
      </c>
      <c r="S12" s="21">
        <f t="shared" si="6"/>
        <v>228977321537</v>
      </c>
      <c r="T12" s="24">
        <f t="shared" si="7"/>
        <v>0.06548325229</v>
      </c>
      <c r="U12" s="24">
        <f>FORECAST($A12,U3:U11,$A3:$A11)</f>
        <v>0.04394485643</v>
      </c>
      <c r="V12" s="21">
        <f t="shared" si="8"/>
        <v>50436.12293</v>
      </c>
      <c r="W12" s="21">
        <f t="shared" si="9"/>
        <v>48219.71475</v>
      </c>
      <c r="X12" s="37">
        <f>AVERAGE(FORECAST($A12,X3:X11,$A3:$A11),X11*(AVERAGE(Y4:Y11)+1))</f>
        <v>0.9366826755</v>
      </c>
      <c r="Y12" s="31">
        <f t="shared" si="22"/>
        <v>0.005534727289</v>
      </c>
      <c r="Z12" s="37">
        <f>AVERAGE(FORECAST($A12,Z3:Z11,$A3:$A11),Z11*(AVERAGE(AA4:AA11)+1))</f>
        <v>0.2985221226</v>
      </c>
      <c r="AA12" s="31">
        <f t="shared" si="23"/>
        <v>-0.004218200176</v>
      </c>
      <c r="AB12" s="37">
        <f t="shared" si="10"/>
        <v>0.6381605529</v>
      </c>
      <c r="AC12" s="27">
        <f t="shared" ref="AC12:AF12" si="33">AC11+($AG12-$AG11)/4</f>
        <v>0.2187179688</v>
      </c>
      <c r="AD12" s="27">
        <f t="shared" si="33"/>
        <v>0.1397179688</v>
      </c>
      <c r="AE12" s="27">
        <f t="shared" si="33"/>
        <v>0.1187179688</v>
      </c>
      <c r="AF12" s="27">
        <f t="shared" si="33"/>
        <v>0.07271796875</v>
      </c>
      <c r="AG12" s="24">
        <f t="shared" si="32"/>
        <v>0.549871875</v>
      </c>
      <c r="AH12" s="38">
        <f t="shared" si="13"/>
        <v>0.4824728495</v>
      </c>
      <c r="AI12" s="21">
        <f t="shared" si="14"/>
        <v>30771.91982</v>
      </c>
      <c r="AJ12" s="30" t="str">
        <f t="shared" si="15"/>
        <v>B+</v>
      </c>
      <c r="AK12" s="30" t="str">
        <f t="shared" si="16"/>
        <v>0.48B+</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3592853654452</v>
      </c>
      <c r="G13" s="24">
        <f t="shared" si="19"/>
        <v>0.02748927593</v>
      </c>
      <c r="H13" s="22">
        <f>AVERAGE(FORECAST($A13,H3:H12,$A3:$A12),H12*(AVERAGE(I4:I12)+1))</f>
        <v>69545340.38</v>
      </c>
      <c r="I13" s="24">
        <f t="shared" si="20"/>
        <v>0.003107555711</v>
      </c>
      <c r="J13" s="35">
        <f t="shared" si="2"/>
        <v>0.02628036346</v>
      </c>
      <c r="K13" s="36">
        <f>FORECAST(A13,K3:K12,A3:A12)</f>
        <v>1233552210714</v>
      </c>
      <c r="L13" s="21">
        <f t="shared" si="28"/>
        <v>1127752103175</v>
      </c>
      <c r="M13" s="21">
        <f t="shared" si="34"/>
        <v>-105800107540</v>
      </c>
      <c r="N13" s="24">
        <f t="shared" si="4"/>
        <v>-0.02944737463</v>
      </c>
      <c r="O13" s="24">
        <f>AVERAGE(FORECAST($A13,O3:O12,$A3:$A12),O12*(AVERAGE(P4:P12)+1))</f>
        <v>1.219330747</v>
      </c>
      <c r="P13" s="24">
        <f t="shared" si="21"/>
        <v>0.01548214072</v>
      </c>
      <c r="Q13" s="21">
        <f t="shared" si="30"/>
        <v>4380876929209</v>
      </c>
      <c r="R13" s="24">
        <f>FORECAST($A13,R3:R12,$A3:$A12)</f>
        <v>0.06069642857</v>
      </c>
      <c r="S13" s="21">
        <f t="shared" si="6"/>
        <v>265903583614</v>
      </c>
      <c r="T13" s="24">
        <f t="shared" si="7"/>
        <v>0.07400902157</v>
      </c>
      <c r="U13" s="24">
        <f>FORECAST($A13,U3:U12,$A3:$A12)</f>
        <v>0.04714355679</v>
      </c>
      <c r="V13" s="21">
        <f t="shared" si="8"/>
        <v>51662.03278</v>
      </c>
      <c r="W13" s="21">
        <f t="shared" si="9"/>
        <v>49226.50081</v>
      </c>
      <c r="X13" s="37">
        <f>AVERAGE(FORECAST($A13,X3:X12,$A3:$A12),X12*(AVERAGE(Y4:Y12)+1))</f>
        <v>0.941755386</v>
      </c>
      <c r="Y13" s="31">
        <f t="shared" si="22"/>
        <v>0.005415612652</v>
      </c>
      <c r="Z13" s="37">
        <f>AVERAGE(FORECAST($A13,Z3:Z12,$A3:$A12),Z12*(AVERAGE(AA4:AA12)+1))</f>
        <v>0.2969568322</v>
      </c>
      <c r="AA13" s="31">
        <f t="shared" si="23"/>
        <v>-0.00527110417</v>
      </c>
      <c r="AB13" s="37">
        <f t="shared" si="10"/>
        <v>0.6447985538</v>
      </c>
      <c r="AC13" s="27">
        <f t="shared" ref="AC13:AF13" si="35">AC12+($AG13-$AG12)/4</f>
        <v>0.2255913672</v>
      </c>
      <c r="AD13" s="27">
        <f t="shared" si="35"/>
        <v>0.1465913672</v>
      </c>
      <c r="AE13" s="27">
        <f t="shared" si="35"/>
        <v>0.1255913672</v>
      </c>
      <c r="AF13" s="27">
        <f t="shared" si="35"/>
        <v>0.07959136719</v>
      </c>
      <c r="AG13" s="24">
        <f t="shared" si="32"/>
        <v>0.5773654688</v>
      </c>
      <c r="AH13" s="38">
        <f t="shared" si="13"/>
        <v>0.500189436</v>
      </c>
      <c r="AI13" s="21">
        <f t="shared" si="14"/>
        <v>31741.17653</v>
      </c>
      <c r="AJ13" s="30" t="str">
        <f t="shared" si="15"/>
        <v>B+</v>
      </c>
      <c r="AK13" s="30" t="str">
        <f t="shared" si="16"/>
        <v>0.5B+</v>
      </c>
    </row>
    <row r="14">
      <c r="A14" s="34">
        <v>2030.0</v>
      </c>
      <c r="B14" s="21">
        <f>AVERAGE(FORECAST($A14,B5:B13,$A5:$A13),B13*(AVERAGE(C6:C13)+1))</f>
        <v>141834754671550</v>
      </c>
      <c r="C14" s="24"/>
      <c r="D14" s="22">
        <f>AVERAGE(FORECAST($A14,D5:D13,$A5:$A13),D13*(AVERAGE(E6:E13)+1))</f>
        <v>8586617399</v>
      </c>
      <c r="E14" s="24"/>
      <c r="F14" s="21">
        <f>AVERAGE(FORECAST($A14,F5:F13,$A5:$A13),F13*(AVERAGE(G6:G13)+1))</f>
        <v>3678556070956</v>
      </c>
      <c r="H14" s="22">
        <f>AVERAGE(FORECAST($A14,H5:H13,$A5:$A13),H13*(AVERAGE(I6:I13)+1))</f>
        <v>69738644.35</v>
      </c>
      <c r="J14" s="35">
        <f t="shared" si="2"/>
        <v>0.02593550558</v>
      </c>
      <c r="K14" s="36">
        <f>FORECAST(A14,K3:K13,A3:A13)</f>
        <v>1267657442857</v>
      </c>
      <c r="L14" s="21">
        <f t="shared" si="28"/>
        <v>1151589190300</v>
      </c>
      <c r="M14" s="21">
        <f t="shared" si="34"/>
        <v>-116068252557</v>
      </c>
      <c r="N14" s="24">
        <f t="shared" si="4"/>
        <v>-0.0315526664</v>
      </c>
      <c r="O14" s="24">
        <f>AVERAGE(FORECAST($A14,O3:O13,$A3:$A13),O13*(AVERAGE(P4:P13)+1))</f>
        <v>1.237651053</v>
      </c>
      <c r="Q14" s="21">
        <f t="shared" si="30"/>
        <v>4552768795164</v>
      </c>
      <c r="R14" s="24">
        <f>FORECAST($A14,R3:R13,$A3:$A13)</f>
        <v>0.06685714286</v>
      </c>
      <c r="S14" s="21">
        <f t="shared" si="6"/>
        <v>304385113734</v>
      </c>
      <c r="T14" s="24">
        <f t="shared" si="7"/>
        <v>0.08274581327</v>
      </c>
      <c r="U14" s="24">
        <f>FORECAST($A14,U3:U13,$A3:$A13)</f>
        <v>0.05034225714</v>
      </c>
      <c r="V14" s="21">
        <f t="shared" si="8"/>
        <v>52747.74274</v>
      </c>
      <c r="W14" s="21">
        <f t="shared" si="9"/>
        <v>50092.30231</v>
      </c>
      <c r="X14" s="37">
        <f>AVERAGE(FORECAST($A14,X3:X13,$A3:$A13),X13*(AVERAGE(Y4:Y13)+1))</f>
        <v>0.9468010915</v>
      </c>
      <c r="Z14" s="37">
        <f>AVERAGE(FORECAST($A14,Z3:Z13,$A3:$A13),Z13*(AVERAGE(AA4:AA13)+1))</f>
        <v>0.2952803009</v>
      </c>
      <c r="AB14" s="37">
        <f t="shared" si="10"/>
        <v>0.6515207906</v>
      </c>
      <c r="AC14" s="27">
        <f t="shared" ref="AC14:AF14" si="36">AC13+($AG14-$AG13)/4</f>
        <v>0.2328084355</v>
      </c>
      <c r="AD14" s="27">
        <f t="shared" si="36"/>
        <v>0.1538084355</v>
      </c>
      <c r="AE14" s="27">
        <f t="shared" si="36"/>
        <v>0.1328084355</v>
      </c>
      <c r="AF14" s="27">
        <f t="shared" si="36"/>
        <v>0.08680843555</v>
      </c>
      <c r="AG14" s="24">
        <f t="shared" si="32"/>
        <v>0.6062337422</v>
      </c>
      <c r="AH14" s="38">
        <f t="shared" si="13"/>
        <v>0.5178707681</v>
      </c>
      <c r="AI14" s="21">
        <f t="shared" si="14"/>
        <v>32636.1764</v>
      </c>
      <c r="AJ14" s="30" t="str">
        <f t="shared" si="15"/>
        <v>B+</v>
      </c>
      <c r="AK14" s="30" t="str">
        <f t="shared" si="16"/>
        <v>0.52B+</v>
      </c>
    </row>
    <row r="16">
      <c r="C16" s="45"/>
      <c r="D16" s="45"/>
      <c r="E16" s="45"/>
      <c r="F16" s="45"/>
      <c r="G16" s="45"/>
      <c r="H16" s="45"/>
      <c r="I16" s="45"/>
      <c r="J16" s="45"/>
      <c r="K16" s="45"/>
      <c r="L16" s="45"/>
      <c r="M16" s="45"/>
    </row>
    <row r="17">
      <c r="C17" s="45"/>
      <c r="G17" s="46"/>
      <c r="H17" s="46"/>
      <c r="I17" s="46"/>
      <c r="J17" s="46"/>
      <c r="K17" s="46"/>
    </row>
    <row r="18">
      <c r="C18" s="45"/>
      <c r="G18" s="46"/>
      <c r="H18" s="46"/>
      <c r="I18" s="46"/>
      <c r="J18" s="46"/>
      <c r="K18" s="46"/>
    </row>
    <row r="19">
      <c r="C19" s="45"/>
      <c r="G19" s="46"/>
      <c r="H19" s="46"/>
      <c r="I19" s="46"/>
      <c r="J19" s="46"/>
      <c r="K19" s="46"/>
    </row>
    <row r="20">
      <c r="C20" s="45"/>
      <c r="G20" s="46"/>
      <c r="H20" s="46"/>
      <c r="I20" s="46"/>
      <c r="J20" s="46"/>
      <c r="K20" s="46"/>
    </row>
    <row r="21">
      <c r="C21" s="45"/>
      <c r="G21" s="46"/>
      <c r="H21" s="46"/>
      <c r="I21" s="46"/>
      <c r="J21" s="46"/>
      <c r="K21" s="46"/>
    </row>
    <row r="22">
      <c r="C22" s="45"/>
      <c r="G22" s="46"/>
      <c r="H22" s="46"/>
      <c r="I22" s="46"/>
      <c r="J22" s="46"/>
      <c r="K22" s="46"/>
    </row>
  </sheetData>
  <mergeCells count="1">
    <mergeCell ref="B1:AK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18.38"/>
    <col customWidth="1" min="16" max="16" width="18.5"/>
    <col customWidth="1" min="17" max="17" width="16.75"/>
    <col customWidth="1" min="19" max="19" width="14.38"/>
    <col customWidth="1" min="20" max="20" width="20.5"/>
    <col customWidth="1" min="35" max="35" width="19.88"/>
    <col customWidth="1" min="36" max="36" width="16.88"/>
  </cols>
  <sheetData>
    <row r="1">
      <c r="A1" s="1" t="s">
        <v>88</v>
      </c>
      <c r="B1" s="18" t="s">
        <v>120</v>
      </c>
      <c r="AL1" s="18"/>
      <c r="AM1" s="18"/>
      <c r="AN1" s="18"/>
      <c r="AO1" s="18"/>
      <c r="AP1" s="18"/>
      <c r="AQ1" s="18"/>
    </row>
    <row r="2">
      <c r="A2" s="1" t="s">
        <v>90</v>
      </c>
      <c r="B2" s="1" t="s">
        <v>20</v>
      </c>
      <c r="C2" s="1" t="s">
        <v>91</v>
      </c>
      <c r="D2" s="1" t="s">
        <v>92</v>
      </c>
      <c r="E2" s="1" t="s">
        <v>93</v>
      </c>
      <c r="F2" s="1" t="s">
        <v>19</v>
      </c>
      <c r="G2" s="1" t="s">
        <v>94</v>
      </c>
      <c r="H2" s="1" t="s">
        <v>95</v>
      </c>
      <c r="I2" s="1" t="s">
        <v>96</v>
      </c>
      <c r="J2" s="19" t="s">
        <v>97</v>
      </c>
      <c r="K2" s="1" t="s">
        <v>98</v>
      </c>
      <c r="L2" s="1" t="s">
        <v>99</v>
      </c>
      <c r="M2" s="1" t="s">
        <v>100</v>
      </c>
      <c r="N2" s="19" t="s">
        <v>102</v>
      </c>
      <c r="O2" s="1" t="s">
        <v>103</v>
      </c>
      <c r="P2" s="1" t="s">
        <v>104</v>
      </c>
      <c r="Q2" s="1" t="s">
        <v>105</v>
      </c>
      <c r="R2" s="1" t="s">
        <v>106</v>
      </c>
      <c r="S2" s="1" t="s">
        <v>107</v>
      </c>
      <c r="T2" s="19" t="s">
        <v>108</v>
      </c>
      <c r="U2" s="1" t="s">
        <v>25</v>
      </c>
      <c r="V2" s="1" t="s">
        <v>109</v>
      </c>
      <c r="W2" s="19" t="s">
        <v>5</v>
      </c>
      <c r="X2" s="1" t="s">
        <v>29</v>
      </c>
      <c r="Y2" s="1" t="s">
        <v>110</v>
      </c>
      <c r="Z2" s="1" t="s">
        <v>30</v>
      </c>
      <c r="AA2" s="1" t="s">
        <v>111</v>
      </c>
      <c r="AB2" s="19" t="s">
        <v>9</v>
      </c>
      <c r="AC2" s="1" t="s">
        <v>112</v>
      </c>
      <c r="AD2" s="1" t="s">
        <v>113</v>
      </c>
      <c r="AE2" s="1" t="s">
        <v>114</v>
      </c>
      <c r="AF2" s="1" t="s">
        <v>115</v>
      </c>
      <c r="AG2" s="19" t="s">
        <v>116</v>
      </c>
      <c r="AH2" s="20" t="s">
        <v>117</v>
      </c>
      <c r="AI2" s="20" t="s">
        <v>2</v>
      </c>
      <c r="AJ2" s="1" t="s">
        <v>118</v>
      </c>
      <c r="AK2" s="1" t="s">
        <v>119</v>
      </c>
      <c r="AL2" s="1"/>
      <c r="AM2" s="1"/>
      <c r="AN2" s="1"/>
      <c r="AO2" s="1"/>
      <c r="AP2" s="1"/>
      <c r="AQ2" s="1"/>
    </row>
    <row r="3">
      <c r="A3" s="1">
        <v>2019.0</v>
      </c>
      <c r="B3" s="21">
        <f>87.7*1000000000000</f>
        <v>87700000000000</v>
      </c>
      <c r="C3" s="21"/>
      <c r="D3" s="22">
        <f>7.81*10^9</f>
        <v>7810000000</v>
      </c>
      <c r="E3" s="22"/>
      <c r="F3" s="21">
        <v>1.743725E12</v>
      </c>
      <c r="G3" s="21"/>
      <c r="H3" s="32">
        <v>3.7618495E7</v>
      </c>
      <c r="I3" s="22"/>
      <c r="J3" s="23">
        <f t="shared" ref="J3:J14" si="2">F3/B3</f>
        <v>0.01988283922</v>
      </c>
      <c r="K3" s="21">
        <v>5.897067E11</v>
      </c>
      <c r="L3" s="21">
        <v>5.641421E11</v>
      </c>
      <c r="M3" s="21">
        <f t="shared" ref="M3:M8" si="3">L3-K3</f>
        <v>-25564600000</v>
      </c>
      <c r="N3" s="23">
        <f t="shared" ref="N3:N14" si="4">M3/F3</f>
        <v>-0.0146609127</v>
      </c>
      <c r="O3" s="31">
        <v>0.53362325</v>
      </c>
      <c r="P3" s="24"/>
      <c r="Q3" s="21">
        <f t="shared" ref="Q3:Q8" si="5">O3*F3</f>
        <v>930492201606</v>
      </c>
      <c r="R3" s="31">
        <v>0.0175</v>
      </c>
      <c r="S3" s="21">
        <f t="shared" ref="S3:S14" si="6">Q3*R3</f>
        <v>16283613528</v>
      </c>
      <c r="T3" s="23">
        <f t="shared" ref="T3:T14" si="7">S3/F3</f>
        <v>0.009338406875</v>
      </c>
      <c r="U3" s="31">
        <v>0.01949269</v>
      </c>
      <c r="V3" s="21">
        <f t="shared" ref="V3:V14" si="8">F3/H3</f>
        <v>46352.86446</v>
      </c>
      <c r="W3" s="25">
        <f t="shared" ref="W3:W14" si="9">V3*(1-U3)</f>
        <v>45449.32244</v>
      </c>
      <c r="X3" s="3">
        <v>0.92</v>
      </c>
      <c r="Y3" s="3"/>
      <c r="Z3" s="41">
        <v>0.317</v>
      </c>
      <c r="AA3" s="3"/>
      <c r="AB3" s="26">
        <f t="shared" ref="AB3:AB14" si="10">X3-Z3</f>
        <v>0.603</v>
      </c>
      <c r="AC3" s="27">
        <f t="shared" ref="AC3:AF3" si="1">AC4+($AG3-$AG4)/4</f>
        <v>0.1031118269</v>
      </c>
      <c r="AD3" s="27">
        <f t="shared" si="1"/>
        <v>0.0931118269</v>
      </c>
      <c r="AE3" s="27">
        <f t="shared" si="1"/>
        <v>0.0761118269</v>
      </c>
      <c r="AF3" s="27">
        <f t="shared" si="1"/>
        <v>0.0261118269</v>
      </c>
      <c r="AG3" s="23">
        <f t="shared" ref="AG3:AG8" si="12">AG4*95%</f>
        <v>0.2984473076</v>
      </c>
      <c r="AH3" s="39">
        <f t="shared" ref="AH3:AH14" si="13">AG3+J3+N3-T3</f>
        <v>0.2943308272</v>
      </c>
      <c r="AI3" s="29">
        <f t="shared" ref="AI3:AI14" si="14">W3*AB3</f>
        <v>27405.94143</v>
      </c>
      <c r="AJ3" s="30" t="str">
        <f t="shared" ref="AJ3:AJ14" si="15">IFS(
AI3&lt;=2500,"D-",
AI3&lt;=5000,"D",
AI3&lt;=10000,"D+",
AI3&lt;=12500,"C-",
AI3&lt;=15000,"C",
AI3&lt;=20000,"C+",
AI3&lt;=25000,"B-",
AI3&lt;=30000,"B",
AI3&lt;=35000,"B+",
AI3&lt;=40000,"A-",
AI3&lt;=50000,"A",
AI3&lt;=100000,"A+",
TRUE,"Out of range"
)
</f>
        <v>B</v>
      </c>
      <c r="AK3" s="30" t="str">
        <f t="shared" ref="AK3:AK14" si="16">CONCAT(ROUND(AH3,2),AJ3)</f>
        <v>0.29B</v>
      </c>
    </row>
    <row r="4">
      <c r="A4" s="1">
        <v>2020.0</v>
      </c>
      <c r="B4" s="21">
        <f>84.75*1000000000000</f>
        <v>84750000000000</v>
      </c>
      <c r="C4" s="24">
        <f t="shared" ref="C4:C13" si="17">(B4-B3)/B3</f>
        <v>-0.03363740023</v>
      </c>
      <c r="D4" s="22">
        <f>7.89*10^9</f>
        <v>7890000000</v>
      </c>
      <c r="E4" s="24">
        <f t="shared" ref="E4:E13" si="18">(D4-D3)/D3</f>
        <v>0.01024327785</v>
      </c>
      <c r="F4" s="21">
        <v>1.655685E12</v>
      </c>
      <c r="G4" s="24">
        <f t="shared" ref="G4:G13" si="19">(F4-F3)/F3</f>
        <v>-0.05048961275</v>
      </c>
      <c r="H4" s="32">
        <v>3.8028638E7</v>
      </c>
      <c r="I4" s="24">
        <f t="shared" ref="I4:I13" si="20">(H4-H3)/H3</f>
        <v>0.0109026956</v>
      </c>
      <c r="J4" s="23">
        <f t="shared" si="2"/>
        <v>0.01953610619</v>
      </c>
      <c r="K4" s="21">
        <v>5.245726E11</v>
      </c>
      <c r="L4" s="21">
        <v>4.879907E11</v>
      </c>
      <c r="M4" s="21">
        <f t="shared" si="3"/>
        <v>-36581900000</v>
      </c>
      <c r="N4" s="23">
        <f t="shared" si="4"/>
        <v>-0.02209472212</v>
      </c>
      <c r="O4" s="31">
        <v>0.74554407</v>
      </c>
      <c r="P4" s="24">
        <f t="shared" ref="P4:P13" si="21">(O4-O3)/O3</f>
        <v>0.397135657</v>
      </c>
      <c r="Q4" s="21">
        <f t="shared" si="5"/>
        <v>1234386133538</v>
      </c>
      <c r="R4" s="31">
        <v>0.0025</v>
      </c>
      <c r="S4" s="21">
        <f t="shared" si="6"/>
        <v>3085965334</v>
      </c>
      <c r="T4" s="23">
        <f t="shared" si="7"/>
        <v>0.001863860175</v>
      </c>
      <c r="U4" s="31">
        <v>0.007169999999999999</v>
      </c>
      <c r="V4" s="21">
        <f t="shared" si="8"/>
        <v>43537.8464</v>
      </c>
      <c r="W4" s="25">
        <f t="shared" si="9"/>
        <v>43225.68004</v>
      </c>
      <c r="X4" s="3">
        <v>0.93</v>
      </c>
      <c r="Y4" s="31">
        <f t="shared" ref="Y4:Y13" si="22">(X4-X3)/X3</f>
        <v>0.01086956522</v>
      </c>
      <c r="Z4" s="41">
        <v>0.299</v>
      </c>
      <c r="AA4" s="31">
        <f t="shared" ref="AA4:AA13" si="23">(Z4-Z3)/Z4</f>
        <v>-0.0602006689</v>
      </c>
      <c r="AB4" s="26">
        <f t="shared" si="10"/>
        <v>0.631</v>
      </c>
      <c r="AC4" s="27">
        <f t="shared" ref="AC4:AF4" si="11">AC5+($AG4-$AG5)/4</f>
        <v>0.1070387652</v>
      </c>
      <c r="AD4" s="27">
        <f t="shared" si="11"/>
        <v>0.09703876516</v>
      </c>
      <c r="AE4" s="27">
        <f t="shared" si="11"/>
        <v>0.08003876516</v>
      </c>
      <c r="AF4" s="27">
        <f t="shared" si="11"/>
        <v>0.03003876516</v>
      </c>
      <c r="AG4" s="23">
        <f t="shared" si="12"/>
        <v>0.3141550606</v>
      </c>
      <c r="AH4" s="39">
        <f t="shared" si="13"/>
        <v>0.3097325845</v>
      </c>
      <c r="AI4" s="29">
        <f t="shared" si="14"/>
        <v>27275.40411</v>
      </c>
      <c r="AJ4" s="30" t="str">
        <f t="shared" si="15"/>
        <v>B</v>
      </c>
      <c r="AK4" s="30" t="str">
        <f t="shared" si="16"/>
        <v>0.31B</v>
      </c>
    </row>
    <row r="5">
      <c r="A5" s="1">
        <v>2021.0</v>
      </c>
      <c r="B5" s="21">
        <f>96.14*1000000000000</f>
        <v>96140000000000</v>
      </c>
      <c r="C5" s="24">
        <f t="shared" si="17"/>
        <v>0.1343952802</v>
      </c>
      <c r="D5" s="22">
        <f>7.95*10^9</f>
        <v>7950000000</v>
      </c>
      <c r="E5" s="24">
        <f t="shared" si="18"/>
        <v>0.007604562738</v>
      </c>
      <c r="F5" s="21">
        <v>2.022379E12</v>
      </c>
      <c r="G5" s="24">
        <f t="shared" si="19"/>
        <v>0.2214757034</v>
      </c>
      <c r="H5" s="32">
        <v>3.8239864E7</v>
      </c>
      <c r="I5" s="24">
        <f t="shared" si="20"/>
        <v>0.005554392981</v>
      </c>
      <c r="J5" s="23">
        <f t="shared" si="2"/>
        <v>0.02103577075</v>
      </c>
      <c r="K5" s="21">
        <v>6.283886E11</v>
      </c>
      <c r="L5" s="21">
        <v>6.304782E11</v>
      </c>
      <c r="M5" s="21">
        <f t="shared" si="3"/>
        <v>2089600000</v>
      </c>
      <c r="N5" s="23">
        <f t="shared" si="4"/>
        <v>0.001033238577</v>
      </c>
      <c r="O5" s="31">
        <v>0.6877957100000001</v>
      </c>
      <c r="P5" s="24">
        <f t="shared" si="21"/>
        <v>-0.07745800996</v>
      </c>
      <c r="Q5" s="21">
        <f t="shared" si="5"/>
        <v>1390983600194</v>
      </c>
      <c r="R5" s="31">
        <v>0.0025</v>
      </c>
      <c r="S5" s="21">
        <f t="shared" si="6"/>
        <v>3477459000</v>
      </c>
      <c r="T5" s="23">
        <f t="shared" si="7"/>
        <v>0.001719489275</v>
      </c>
      <c r="U5" s="31">
        <v>0.03395193</v>
      </c>
      <c r="V5" s="21">
        <f t="shared" si="8"/>
        <v>52886.66822</v>
      </c>
      <c r="W5" s="25">
        <f t="shared" si="9"/>
        <v>51091.06376</v>
      </c>
      <c r="X5" s="3">
        <v>0.94</v>
      </c>
      <c r="Y5" s="31">
        <f t="shared" si="22"/>
        <v>0.01075268817</v>
      </c>
      <c r="Z5" s="41">
        <v>0.311</v>
      </c>
      <c r="AA5" s="31">
        <f t="shared" si="23"/>
        <v>0.038585209</v>
      </c>
      <c r="AB5" s="26">
        <f t="shared" si="10"/>
        <v>0.629</v>
      </c>
      <c r="AC5" s="27">
        <f t="shared" ref="AC5:AF5" si="24">AC6+($AG5-$AG6)/4</f>
        <v>0.1111723844</v>
      </c>
      <c r="AD5" s="27">
        <f t="shared" si="24"/>
        <v>0.1011723844</v>
      </c>
      <c r="AE5" s="27">
        <f t="shared" si="24"/>
        <v>0.08417238438</v>
      </c>
      <c r="AF5" s="27">
        <f t="shared" si="24"/>
        <v>0.03417238438</v>
      </c>
      <c r="AG5" s="23">
        <f t="shared" si="12"/>
        <v>0.3306895375</v>
      </c>
      <c r="AH5" s="39">
        <f t="shared" si="13"/>
        <v>0.3510390576</v>
      </c>
      <c r="AI5" s="29">
        <f t="shared" si="14"/>
        <v>32136.2791</v>
      </c>
      <c r="AJ5" s="30" t="str">
        <f t="shared" si="15"/>
        <v>B+</v>
      </c>
      <c r="AK5" s="30" t="str">
        <f t="shared" si="16"/>
        <v>0.35B+</v>
      </c>
    </row>
    <row r="6">
      <c r="A6" s="1">
        <v>2022.0</v>
      </c>
      <c r="B6" s="21">
        <f>101.56*1000000000000</f>
        <v>101560000000000</v>
      </c>
      <c r="C6" s="24">
        <f t="shared" si="17"/>
        <v>0.05637611816</v>
      </c>
      <c r="D6" s="22">
        <f>8.02*10^9</f>
        <v>8020000000</v>
      </c>
      <c r="E6" s="24">
        <f t="shared" si="18"/>
        <v>0.008805031447</v>
      </c>
      <c r="F6" s="21">
        <v>2.190411E12</v>
      </c>
      <c r="G6" s="24">
        <f t="shared" si="19"/>
        <v>0.08308630578</v>
      </c>
      <c r="H6" s="32">
        <v>3.8935934E7</v>
      </c>
      <c r="I6" s="24">
        <f t="shared" si="20"/>
        <v>0.0182027321</v>
      </c>
      <c r="J6" s="23">
        <f t="shared" si="2"/>
        <v>0.02156765459</v>
      </c>
      <c r="K6" s="21">
        <v>7.310372E11</v>
      </c>
      <c r="L6" s="21">
        <v>7.434954E11</v>
      </c>
      <c r="M6" s="21">
        <f t="shared" si="3"/>
        <v>12458200000</v>
      </c>
      <c r="N6" s="23">
        <f t="shared" si="4"/>
        <v>0.005687608399</v>
      </c>
      <c r="O6" s="31">
        <v>0.59944018</v>
      </c>
      <c r="P6" s="24">
        <f t="shared" si="21"/>
        <v>-0.1284618801</v>
      </c>
      <c r="Q6" s="21">
        <f t="shared" si="5"/>
        <v>1313020364114</v>
      </c>
      <c r="R6" s="31">
        <v>0.01</v>
      </c>
      <c r="S6" s="21">
        <f t="shared" si="6"/>
        <v>13130203641</v>
      </c>
      <c r="T6" s="23">
        <f t="shared" si="7"/>
        <v>0.0059944018</v>
      </c>
      <c r="U6" s="31">
        <v>0.06802801</v>
      </c>
      <c r="V6" s="21">
        <f t="shared" si="8"/>
        <v>56256.79867</v>
      </c>
      <c r="W6" s="25">
        <f t="shared" si="9"/>
        <v>52429.76061</v>
      </c>
      <c r="X6" s="3">
        <v>0.94</v>
      </c>
      <c r="Y6" s="31">
        <f t="shared" si="22"/>
        <v>0</v>
      </c>
      <c r="Z6" s="41">
        <f t="shared" ref="Z6:Z8" si="26">AVERAGE(Z5,$Z$9)</f>
        <v>0.3005</v>
      </c>
      <c r="AA6" s="31">
        <f t="shared" si="23"/>
        <v>-0.03494176373</v>
      </c>
      <c r="AB6" s="26">
        <f t="shared" si="10"/>
        <v>0.6395</v>
      </c>
      <c r="AC6" s="27">
        <f t="shared" ref="AC6:AF6" si="25">AC7+($AG6-$AG7)/4</f>
        <v>0.1155235625</v>
      </c>
      <c r="AD6" s="27">
        <f t="shared" si="25"/>
        <v>0.1055235625</v>
      </c>
      <c r="AE6" s="27">
        <f t="shared" si="25"/>
        <v>0.0885235625</v>
      </c>
      <c r="AF6" s="27">
        <f t="shared" si="25"/>
        <v>0.0385235625</v>
      </c>
      <c r="AG6" s="23">
        <f t="shared" si="12"/>
        <v>0.34809425</v>
      </c>
      <c r="AH6" s="39">
        <f t="shared" si="13"/>
        <v>0.3693551112</v>
      </c>
      <c r="AI6" s="29">
        <f t="shared" si="14"/>
        <v>33528.83191</v>
      </c>
      <c r="AJ6" s="30" t="str">
        <f t="shared" si="15"/>
        <v>B+</v>
      </c>
      <c r="AK6" s="30" t="str">
        <f t="shared" si="16"/>
        <v>0.37B+</v>
      </c>
    </row>
    <row r="7">
      <c r="A7" s="1">
        <v>2023.0</v>
      </c>
      <c r="B7" s="21">
        <f>106.8*1000000000000</f>
        <v>106800000000000</v>
      </c>
      <c r="C7" s="24">
        <f t="shared" si="17"/>
        <v>0.05159511619</v>
      </c>
      <c r="D7" s="32">
        <f>8.09*10^9</f>
        <v>8090000000</v>
      </c>
      <c r="E7" s="24">
        <f t="shared" si="18"/>
        <v>0.008728179551</v>
      </c>
      <c r="F7" s="21">
        <v>2.17334E12</v>
      </c>
      <c r="G7" s="24">
        <f t="shared" si="19"/>
        <v>-0.00779351455</v>
      </c>
      <c r="H7" s="32">
        <v>4.0083484E7</v>
      </c>
      <c r="I7" s="24">
        <f t="shared" si="20"/>
        <v>0.02947277443</v>
      </c>
      <c r="J7" s="23">
        <f t="shared" si="2"/>
        <v>0.02034962547</v>
      </c>
      <c r="K7" s="21">
        <v>7.233408E11</v>
      </c>
      <c r="L7" s="21">
        <v>7.248061E11</v>
      </c>
      <c r="M7" s="21">
        <f t="shared" si="3"/>
        <v>1465300000</v>
      </c>
      <c r="N7" s="23">
        <f t="shared" si="4"/>
        <v>0.0006742157233</v>
      </c>
      <c r="O7" s="31">
        <v>0.62473132</v>
      </c>
      <c r="P7" s="24">
        <f t="shared" si="21"/>
        <v>0.04219126586</v>
      </c>
      <c r="Q7" s="21">
        <f t="shared" si="5"/>
        <v>1357753567009</v>
      </c>
      <c r="R7" s="31">
        <v>0.045</v>
      </c>
      <c r="S7" s="21">
        <f t="shared" si="6"/>
        <v>61098910515</v>
      </c>
      <c r="T7" s="23">
        <f t="shared" si="7"/>
        <v>0.0281129094</v>
      </c>
      <c r="U7" s="31">
        <v>0.03879002</v>
      </c>
      <c r="V7" s="21">
        <f t="shared" si="8"/>
        <v>54220.33674</v>
      </c>
      <c r="W7" s="25">
        <f t="shared" si="9"/>
        <v>52117.12879</v>
      </c>
      <c r="X7" s="3">
        <v>0.94</v>
      </c>
      <c r="Y7" s="31">
        <f t="shared" si="22"/>
        <v>0</v>
      </c>
      <c r="Z7" s="41">
        <f t="shared" si="26"/>
        <v>0.29525</v>
      </c>
      <c r="AA7" s="31">
        <f t="shared" si="23"/>
        <v>-0.01778154107</v>
      </c>
      <c r="AB7" s="26">
        <f t="shared" si="10"/>
        <v>0.64475</v>
      </c>
      <c r="AC7" s="27">
        <f t="shared" ref="AC7:AF7" si="27">AC8+($AG7-$AG8)/4</f>
        <v>0.12010375</v>
      </c>
      <c r="AD7" s="27">
        <f t="shared" si="27"/>
        <v>0.11010375</v>
      </c>
      <c r="AE7" s="27">
        <f t="shared" si="27"/>
        <v>0.09310375</v>
      </c>
      <c r="AF7" s="27">
        <f t="shared" si="27"/>
        <v>0.04310375</v>
      </c>
      <c r="AG7" s="23">
        <f t="shared" si="12"/>
        <v>0.366415</v>
      </c>
      <c r="AH7" s="39">
        <f t="shared" si="13"/>
        <v>0.3593259318</v>
      </c>
      <c r="AI7" s="29">
        <f t="shared" si="14"/>
        <v>33602.51879</v>
      </c>
      <c r="AJ7" s="30" t="str">
        <f t="shared" si="15"/>
        <v>B+</v>
      </c>
      <c r="AK7" s="30" t="str">
        <f t="shared" si="16"/>
        <v>0.36B+</v>
      </c>
    </row>
    <row r="8">
      <c r="A8" s="1">
        <v>2024.0</v>
      </c>
      <c r="B8" s="21">
        <f>112.6*1000000000000</f>
        <v>112600000000000</v>
      </c>
      <c r="C8" s="24">
        <f t="shared" si="17"/>
        <v>0.0543071161</v>
      </c>
      <c r="D8" s="32">
        <v>8.161972572E9</v>
      </c>
      <c r="E8" s="24">
        <f t="shared" si="18"/>
        <v>0.008896486032</v>
      </c>
      <c r="F8" s="21">
        <v>2.243637E12</v>
      </c>
      <c r="G8" s="24">
        <f t="shared" si="19"/>
        <v>0.03234514618</v>
      </c>
      <c r="H8" s="32">
        <v>4.1288599E7</v>
      </c>
      <c r="I8" s="24">
        <f t="shared" si="20"/>
        <v>0.03006512608</v>
      </c>
      <c r="J8" s="23">
        <f t="shared" si="2"/>
        <v>0.01992572824</v>
      </c>
      <c r="K8" s="21">
        <v>7.338072E11</v>
      </c>
      <c r="L8" s="21">
        <v>7.279205E11</v>
      </c>
      <c r="M8" s="21">
        <f t="shared" si="3"/>
        <v>-5886700000</v>
      </c>
      <c r="N8" s="23">
        <f t="shared" si="4"/>
        <v>-0.002623731022</v>
      </c>
      <c r="O8" s="31">
        <v>0.64900307</v>
      </c>
      <c r="P8" s="24">
        <f t="shared" si="21"/>
        <v>0.03885150179</v>
      </c>
      <c r="Q8" s="21">
        <f t="shared" si="5"/>
        <v>1456127300966</v>
      </c>
      <c r="R8" s="31">
        <v>0.05</v>
      </c>
      <c r="S8" s="21">
        <f t="shared" si="6"/>
        <v>72806365048</v>
      </c>
      <c r="T8" s="23">
        <f t="shared" si="7"/>
        <v>0.0324501535</v>
      </c>
      <c r="U8" s="31">
        <v>0.02381584</v>
      </c>
      <c r="V8" s="21">
        <f t="shared" si="8"/>
        <v>54340.35192</v>
      </c>
      <c r="W8" s="25">
        <f t="shared" si="9"/>
        <v>53046.19079</v>
      </c>
      <c r="X8" s="3">
        <v>0.94</v>
      </c>
      <c r="Y8" s="31">
        <f t="shared" si="22"/>
        <v>0</v>
      </c>
      <c r="Z8" s="41">
        <f t="shared" si="26"/>
        <v>0.292625</v>
      </c>
      <c r="AA8" s="31">
        <f t="shared" si="23"/>
        <v>-0.008970525416</v>
      </c>
      <c r="AB8" s="26">
        <f t="shared" si="10"/>
        <v>0.647375</v>
      </c>
      <c r="AC8" s="27">
        <f t="shared" ref="AC8:AF8" si="28">AC9+($AG8-$AG9)/4</f>
        <v>0.124925</v>
      </c>
      <c r="AD8" s="27">
        <f t="shared" si="28"/>
        <v>0.114925</v>
      </c>
      <c r="AE8" s="27">
        <f t="shared" si="28"/>
        <v>0.097925</v>
      </c>
      <c r="AF8" s="27">
        <f t="shared" si="28"/>
        <v>0.047925</v>
      </c>
      <c r="AG8" s="23">
        <f t="shared" si="12"/>
        <v>0.3857</v>
      </c>
      <c r="AH8" s="39">
        <f t="shared" si="13"/>
        <v>0.3705518437</v>
      </c>
      <c r="AI8" s="29">
        <f t="shared" si="14"/>
        <v>34340.77777</v>
      </c>
      <c r="AJ8" s="30" t="str">
        <f t="shared" si="15"/>
        <v>B+</v>
      </c>
      <c r="AK8" s="30" t="str">
        <f t="shared" si="16"/>
        <v>0.37B+</v>
      </c>
    </row>
    <row r="9">
      <c r="A9" s="1">
        <v>2025.0</v>
      </c>
      <c r="B9" s="33">
        <v>1.13795678E14</v>
      </c>
      <c r="C9" s="24">
        <f t="shared" si="17"/>
        <v>0.01061880995</v>
      </c>
      <c r="D9" s="32">
        <v>8.23161307E9</v>
      </c>
      <c r="E9" s="24">
        <f t="shared" si="18"/>
        <v>0.008532312181</v>
      </c>
      <c r="F9" s="33">
        <v>2.241253E12</v>
      </c>
      <c r="G9" s="24">
        <f t="shared" si="19"/>
        <v>-0.001062560477</v>
      </c>
      <c r="H9" s="32">
        <v>4.2E7</v>
      </c>
      <c r="I9" s="24">
        <f t="shared" si="20"/>
        <v>0.0172299622</v>
      </c>
      <c r="J9" s="23">
        <f t="shared" si="2"/>
        <v>0.01969541409</v>
      </c>
      <c r="K9" s="33">
        <f>1385000000000/2</f>
        <v>692500000000</v>
      </c>
      <c r="L9" s="21">
        <f t="shared" ref="L9:L14" si="29">K9+M9</f>
        <v>684500000000</v>
      </c>
      <c r="M9" s="33">
        <v>-8.0E9</v>
      </c>
      <c r="N9" s="23">
        <f t="shared" si="4"/>
        <v>-0.00356943192</v>
      </c>
      <c r="O9" s="24">
        <f>Q9/F9</f>
        <v>0.4200000178</v>
      </c>
      <c r="P9" s="24">
        <f t="shared" si="21"/>
        <v>-0.352853573</v>
      </c>
      <c r="Q9" s="33">
        <v>9.413263E11</v>
      </c>
      <c r="R9" s="31">
        <v>0.0275</v>
      </c>
      <c r="S9" s="21">
        <f t="shared" si="6"/>
        <v>25886473250</v>
      </c>
      <c r="T9" s="23">
        <f t="shared" si="7"/>
        <v>0.01155000049</v>
      </c>
      <c r="U9" s="31">
        <v>0.017</v>
      </c>
      <c r="V9" s="21">
        <f t="shared" si="8"/>
        <v>53363.16667</v>
      </c>
      <c r="W9" s="25">
        <f t="shared" si="9"/>
        <v>52455.99283</v>
      </c>
      <c r="X9" s="43">
        <v>0.939</v>
      </c>
      <c r="Y9" s="31">
        <f t="shared" si="22"/>
        <v>-0.001063829787</v>
      </c>
      <c r="Z9" s="41">
        <v>0.29</v>
      </c>
      <c r="AA9" s="31">
        <f t="shared" si="23"/>
        <v>-0.009051724138</v>
      </c>
      <c r="AB9" s="26">
        <f t="shared" si="10"/>
        <v>0.649</v>
      </c>
      <c r="AC9" s="31">
        <v>0.13</v>
      </c>
      <c r="AD9" s="31">
        <v>0.12</v>
      </c>
      <c r="AE9" s="31">
        <v>0.103</v>
      </c>
      <c r="AF9" s="31">
        <v>0.053</v>
      </c>
      <c r="AG9" s="23">
        <f>SUM(AC9:AF9)</f>
        <v>0.406</v>
      </c>
      <c r="AH9" s="39">
        <f t="shared" si="13"/>
        <v>0.4105759817</v>
      </c>
      <c r="AI9" s="29">
        <f t="shared" si="14"/>
        <v>34043.93935</v>
      </c>
      <c r="AJ9" s="30" t="str">
        <f t="shared" si="15"/>
        <v>B+</v>
      </c>
      <c r="AK9" s="30" t="str">
        <f t="shared" si="16"/>
        <v>0.41B+</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2393172598851</v>
      </c>
      <c r="G10" s="24">
        <f t="shared" si="19"/>
        <v>0.06778333318</v>
      </c>
      <c r="H10" s="22">
        <f>AVERAGE(FORECAST(A10,H3:H9,$A$3:$A$9),H9*(AVERAGE(I4:I9)+1))</f>
        <v>42654501.96</v>
      </c>
      <c r="I10" s="24">
        <f t="shared" si="20"/>
        <v>0.01558338008</v>
      </c>
      <c r="J10" s="35">
        <f t="shared" si="2"/>
        <v>0.01993250581</v>
      </c>
      <c r="K10" s="36">
        <f>FORECAST(A10,K3:K9,A3:A9)</f>
        <v>777879200000</v>
      </c>
      <c r="L10" s="36">
        <f t="shared" si="29"/>
        <v>785513457143</v>
      </c>
      <c r="M10" s="21">
        <f>FORECAST(A10,M3:M9,$A$3:$A$9)</f>
        <v>7634257143</v>
      </c>
      <c r="N10" s="24">
        <f t="shared" si="4"/>
        <v>0.003190015274</v>
      </c>
      <c r="O10" s="24">
        <f>AVERAGE(FORECAST(A10,O3:O9,$A$3:$A$9),O9*(AVERAGE(P4:P9)+1))</f>
        <v>0.4688307204</v>
      </c>
      <c r="P10" s="24">
        <f t="shared" si="21"/>
        <v>0.1162635726</v>
      </c>
      <c r="Q10" s="21">
        <f t="shared" ref="Q10:Q14" si="31">O10*F10</f>
        <v>1121992833603</v>
      </c>
      <c r="R10" s="24">
        <f>FORECAST(A10,R3:R9,$A$3:$A$9)</f>
        <v>0.04607142857</v>
      </c>
      <c r="S10" s="21">
        <f t="shared" si="6"/>
        <v>51691812691</v>
      </c>
      <c r="T10" s="24">
        <f t="shared" si="7"/>
        <v>0.02159970105</v>
      </c>
      <c r="U10" s="24">
        <f>FORECAST(A10,U3:U9,$A$3:$A$9)</f>
        <v>0.03412859857</v>
      </c>
      <c r="V10" s="21">
        <f t="shared" si="8"/>
        <v>56105.97917</v>
      </c>
      <c r="W10" s="21">
        <f t="shared" si="9"/>
        <v>54191.16073</v>
      </c>
      <c r="X10" s="37">
        <f>AVERAGE(FORECAST(A10,X3:X9,$A$3:$A$9),X9*(AVERAGE(Y4:Y9)+1))</f>
        <v>0.9443944109</v>
      </c>
      <c r="Y10" s="31">
        <f t="shared" si="22"/>
        <v>0.005744846574</v>
      </c>
      <c r="Z10" s="38">
        <f>AVERAGE(FORECAST(A10,Z3:Z9,$A$3:$A$9),Z9*(AVERAGE(AA4:AA9)+1))</f>
        <v>0.2853304422</v>
      </c>
      <c r="AA10" s="31">
        <f t="shared" si="23"/>
        <v>-0.01636543864</v>
      </c>
      <c r="AB10" s="37">
        <f t="shared" si="10"/>
        <v>0.6590639688</v>
      </c>
      <c r="AC10" s="27">
        <f t="shared" ref="AC10:AF10" si="30">AC9+($AG10-$AG9)/4</f>
        <v>0.135075</v>
      </c>
      <c r="AD10" s="27">
        <f t="shared" si="30"/>
        <v>0.125075</v>
      </c>
      <c r="AE10" s="27">
        <f t="shared" si="30"/>
        <v>0.108075</v>
      </c>
      <c r="AF10" s="27">
        <f t="shared" si="30"/>
        <v>0.058075</v>
      </c>
      <c r="AG10" s="24">
        <f t="shared" ref="AG10:AG14" si="33">AG9*1.05</f>
        <v>0.4263</v>
      </c>
      <c r="AH10" s="38">
        <f t="shared" si="13"/>
        <v>0.42782282</v>
      </c>
      <c r="AI10" s="21">
        <f t="shared" si="14"/>
        <v>35715.44147</v>
      </c>
      <c r="AJ10" s="30" t="str">
        <f t="shared" si="15"/>
        <v>A-</v>
      </c>
      <c r="AK10" s="30" t="str">
        <f t="shared" si="16"/>
        <v>0.43A-</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2514613125164</v>
      </c>
      <c r="G11" s="24">
        <f t="shared" si="19"/>
        <v>0.05074457495</v>
      </c>
      <c r="H11" s="22">
        <f>AVERAGE(FORECAST($A11,H3:H10,$A3:$A10),H10*(AVERAGE(I4:I10)+1))</f>
        <v>43394172.43</v>
      </c>
      <c r="I11" s="24">
        <f t="shared" si="20"/>
        <v>0.01734097065</v>
      </c>
      <c r="J11" s="35">
        <f t="shared" si="2"/>
        <v>0.01999922287</v>
      </c>
      <c r="K11" s="36">
        <f>FORECAST(A11,K3:K10,A3:A10)</f>
        <v>807229246429</v>
      </c>
      <c r="L11" s="21">
        <f t="shared" si="29"/>
        <v>818915642857</v>
      </c>
      <c r="M11" s="21">
        <f>FORECAST($A11,M3:M10,$A3:$A10)</f>
        <v>11686396429</v>
      </c>
      <c r="N11" s="24">
        <f t="shared" si="4"/>
        <v>0.004647393395</v>
      </c>
      <c r="O11" s="24">
        <f>AVERAGE(FORECAST($A11,O3:O10,$A3:$A10),O10*(AVERAGE(P4:P10)+1))</f>
        <v>0.4729822724</v>
      </c>
      <c r="P11" s="24">
        <f t="shared" si="21"/>
        <v>0.008855119266</v>
      </c>
      <c r="Q11" s="21">
        <f t="shared" si="31"/>
        <v>1189367430054</v>
      </c>
      <c r="R11" s="24">
        <f>FORECAST($A11,R3:R10,$A3:$A10)</f>
        <v>0.05205357143</v>
      </c>
      <c r="S11" s="21">
        <f t="shared" si="6"/>
        <v>61910822475</v>
      </c>
      <c r="T11" s="24">
        <f t="shared" si="7"/>
        <v>0.0246204165</v>
      </c>
      <c r="U11" s="24">
        <f>FORECAST($A11,U3:U10,$A3:$A10)</f>
        <v>0.03522330214</v>
      </c>
      <c r="V11" s="21">
        <f t="shared" si="8"/>
        <v>57948.17563</v>
      </c>
      <c r="W11" s="21">
        <f t="shared" si="9"/>
        <v>55907.04953</v>
      </c>
      <c r="X11" s="37">
        <f>AVERAGE(FORECAST($A11,X3:X10,$A3:$A10),X10*(AVERAGE(Y4:Y10)+1))</f>
        <v>0.9480879983</v>
      </c>
      <c r="Y11" s="31">
        <f t="shared" si="22"/>
        <v>0.003911064403</v>
      </c>
      <c r="Z11" s="38">
        <f>AVERAGE(FORECAST($A11,Z3:Z10,$A3:$A10),Z10*(AVERAGE(AA4:AA10)+1))</f>
        <v>0.2811077983</v>
      </c>
      <c r="AA11" s="31">
        <f t="shared" si="23"/>
        <v>-0.01502143986</v>
      </c>
      <c r="AB11" s="37">
        <f t="shared" si="10"/>
        <v>0.6669802</v>
      </c>
      <c r="AC11" s="27">
        <f t="shared" ref="AC11:AF11" si="32">AC10+($AG11-$AG10)/4</f>
        <v>0.14040375</v>
      </c>
      <c r="AD11" s="27">
        <f t="shared" si="32"/>
        <v>0.13040375</v>
      </c>
      <c r="AE11" s="27">
        <f t="shared" si="32"/>
        <v>0.11340375</v>
      </c>
      <c r="AF11" s="27">
        <f t="shared" si="32"/>
        <v>0.06340375</v>
      </c>
      <c r="AG11" s="24">
        <f t="shared" si="33"/>
        <v>0.447615</v>
      </c>
      <c r="AH11" s="38">
        <f t="shared" si="13"/>
        <v>0.4476411998</v>
      </c>
      <c r="AI11" s="21">
        <f t="shared" si="14"/>
        <v>37288.89508</v>
      </c>
      <c r="AJ11" s="30" t="str">
        <f t="shared" si="15"/>
        <v>A-</v>
      </c>
      <c r="AK11" s="30" t="str">
        <f t="shared" si="16"/>
        <v>0.45A-</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2626138267178</v>
      </c>
      <c r="G12" s="24">
        <f t="shared" si="19"/>
        <v>0.0443508152</v>
      </c>
      <c r="H12" s="22">
        <f>AVERAGE(FORECAST($A12,H3:H11,$A3:$A11),H11*(AVERAGE(I4:I11)+1))</f>
        <v>44165456.16</v>
      </c>
      <c r="I12" s="24">
        <f t="shared" si="20"/>
        <v>0.01777390116</v>
      </c>
      <c r="J12" s="35">
        <f t="shared" si="2"/>
        <v>0.02001058709</v>
      </c>
      <c r="K12" s="36">
        <f>FORECAST(A12,K3:K11,A3:A11)</f>
        <v>836579292857</v>
      </c>
      <c r="L12" s="21">
        <f t="shared" si="29"/>
        <v>852317828571</v>
      </c>
      <c r="M12" s="21">
        <f t="shared" ref="M12:M14" si="35">FORECAST($A12,M3:M11,$A3:$A11)</f>
        <v>15738535714</v>
      </c>
      <c r="N12" s="24">
        <f t="shared" si="4"/>
        <v>0.00599303392</v>
      </c>
      <c r="O12" s="24">
        <f>AVERAGE(FORECAST($A12,O3:O11,$A3:$A11),O11*(AVERAGE(P4:P11)+1))</f>
        <v>0.4618573879</v>
      </c>
      <c r="P12" s="24">
        <f t="shared" si="21"/>
        <v>-0.02352072176</v>
      </c>
      <c r="Q12" s="21">
        <f t="shared" si="31"/>
        <v>1212901360440</v>
      </c>
      <c r="R12" s="24">
        <f>FORECAST($A12,R3:R11,$A3:$A11)</f>
        <v>0.05803571429</v>
      </c>
      <c r="S12" s="21">
        <f t="shared" si="6"/>
        <v>70391596811</v>
      </c>
      <c r="T12" s="24">
        <f t="shared" si="7"/>
        <v>0.02680422341</v>
      </c>
      <c r="U12" s="24">
        <f>FORECAST($A12,U3:U11,$A3:$A11)</f>
        <v>0.03631800571</v>
      </c>
      <c r="V12" s="21">
        <f t="shared" si="8"/>
        <v>59461.36405</v>
      </c>
      <c r="W12" s="21">
        <f t="shared" si="9"/>
        <v>57301.84589</v>
      </c>
      <c r="X12" s="37">
        <f>AVERAGE(FORECAST($A12,X3:X11,$A3:$A11),X11*(AVERAGE(Y4:Y11)+1))</f>
        <v>0.9512029107</v>
      </c>
      <c r="Y12" s="31">
        <f t="shared" si="22"/>
        <v>0.00328546759</v>
      </c>
      <c r="Z12" s="37">
        <f>AVERAGE(FORECAST($A12,Z3:Z11,$A3:$A11),Z11*(AVERAGE(AA4:AA11)+1))</f>
        <v>0.2770449586</v>
      </c>
      <c r="AA12" s="31">
        <f t="shared" si="23"/>
        <v>-0.01466491106</v>
      </c>
      <c r="AB12" s="37">
        <f t="shared" si="10"/>
        <v>0.6741579521</v>
      </c>
      <c r="AC12" s="27">
        <f t="shared" ref="AC12:AF12" si="34">AC11+($AG12-$AG11)/4</f>
        <v>0.1459989375</v>
      </c>
      <c r="AD12" s="27">
        <f t="shared" si="34"/>
        <v>0.1359989375</v>
      </c>
      <c r="AE12" s="27">
        <f t="shared" si="34"/>
        <v>0.1189989375</v>
      </c>
      <c r="AF12" s="27">
        <f t="shared" si="34"/>
        <v>0.0689989375</v>
      </c>
      <c r="AG12" s="24">
        <f t="shared" si="33"/>
        <v>0.46999575</v>
      </c>
      <c r="AH12" s="38">
        <f t="shared" si="13"/>
        <v>0.4691951476</v>
      </c>
      <c r="AI12" s="21">
        <f t="shared" si="14"/>
        <v>38630.49508</v>
      </c>
      <c r="AJ12" s="30" t="str">
        <f t="shared" si="15"/>
        <v>A-</v>
      </c>
      <c r="AK12" s="30" t="str">
        <f t="shared" si="16"/>
        <v>0.47A-</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2734729001054</v>
      </c>
      <c r="G13" s="24">
        <f t="shared" si="19"/>
        <v>0.04134996821</v>
      </c>
      <c r="H13" s="22">
        <f>AVERAGE(FORECAST($A13,H3:H12,$A3:$A12),H12*(AVERAGE(I4:I12)+1))</f>
        <v>44950181.65</v>
      </c>
      <c r="I13" s="24">
        <f t="shared" si="20"/>
        <v>0.01776785655</v>
      </c>
      <c r="J13" s="35">
        <f t="shared" si="2"/>
        <v>0.02000350669</v>
      </c>
      <c r="K13" s="36">
        <f>FORECAST(A13,K3:K12,A3:A12)</f>
        <v>865929339286</v>
      </c>
      <c r="L13" s="21">
        <f t="shared" si="29"/>
        <v>884242994742</v>
      </c>
      <c r="M13" s="21">
        <f t="shared" si="35"/>
        <v>18313655456</v>
      </c>
      <c r="N13" s="24">
        <f t="shared" si="4"/>
        <v>0.006696698448</v>
      </c>
      <c r="O13" s="24">
        <f>AVERAGE(FORECAST($A13,O3:O12,$A3:$A12),O12*(AVERAGE(P4:P12)+1))</f>
        <v>0.4452796856</v>
      </c>
      <c r="P13" s="24">
        <f t="shared" si="21"/>
        <v>-0.03589355228</v>
      </c>
      <c r="Q13" s="21">
        <f t="shared" si="31"/>
        <v>1217719269886</v>
      </c>
      <c r="R13" s="24">
        <f>FORECAST($A13,R3:R12,$A3:$A12)</f>
        <v>0.06401785714</v>
      </c>
      <c r="S13" s="21">
        <f t="shared" si="6"/>
        <v>77955778260</v>
      </c>
      <c r="T13" s="24">
        <f t="shared" si="7"/>
        <v>0.0285058513</v>
      </c>
      <c r="U13" s="24">
        <f>FORECAST($A13,U3:U12,$A3:$A12)</f>
        <v>0.03741270929</v>
      </c>
      <c r="V13" s="21">
        <f t="shared" si="8"/>
        <v>60839.109</v>
      </c>
      <c r="W13" s="21">
        <f t="shared" si="9"/>
        <v>58562.9531</v>
      </c>
      <c r="X13" s="37">
        <f>AVERAGE(FORECAST($A13,X3:X12,$A3:$A12),X12*(AVERAGE(Y4:Y12)+1))</f>
        <v>0.9541129092</v>
      </c>
      <c r="Y13" s="31">
        <f t="shared" si="22"/>
        <v>0.003059282571</v>
      </c>
      <c r="Z13" s="37">
        <f>AVERAGE(FORECAST($A13,Z3:Z12,$A3:$A12),Z12*(AVERAGE(AA4:AA12)+1))</f>
        <v>0.2730464647</v>
      </c>
      <c r="AA13" s="31">
        <f t="shared" si="23"/>
        <v>-0.01464400533</v>
      </c>
      <c r="AB13" s="37">
        <f t="shared" si="10"/>
        <v>0.6810664445</v>
      </c>
      <c r="AC13" s="27">
        <f t="shared" ref="AC13:AF13" si="36">AC12+($AG13-$AG12)/4</f>
        <v>0.1518738844</v>
      </c>
      <c r="AD13" s="27">
        <f t="shared" si="36"/>
        <v>0.1418738844</v>
      </c>
      <c r="AE13" s="27">
        <f t="shared" si="36"/>
        <v>0.1248738844</v>
      </c>
      <c r="AF13" s="27">
        <f t="shared" si="36"/>
        <v>0.07487388438</v>
      </c>
      <c r="AG13" s="24">
        <f t="shared" si="33"/>
        <v>0.4934955375</v>
      </c>
      <c r="AH13" s="38">
        <f t="shared" si="13"/>
        <v>0.4916898913</v>
      </c>
      <c r="AI13" s="21">
        <f t="shared" si="14"/>
        <v>39885.26225</v>
      </c>
      <c r="AJ13" s="30" t="str">
        <f t="shared" si="15"/>
        <v>A-</v>
      </c>
      <c r="AK13" s="30" t="str">
        <f t="shared" si="16"/>
        <v>0.49A-</v>
      </c>
    </row>
    <row r="14">
      <c r="A14" s="34">
        <v>2030.0</v>
      </c>
      <c r="B14" s="21">
        <f>AVERAGE(FORECAST($A14,B5:B13,$A5:$A13),B13*(AVERAGE(C6:C13)+1))</f>
        <v>141834754671550</v>
      </c>
      <c r="C14" s="24"/>
      <c r="D14" s="22">
        <f>AVERAGE(FORECAST($A14,D5:D13,$A5:$A13),D13*(AVERAGE(E6:E13)+1))</f>
        <v>8586617399</v>
      </c>
      <c r="E14" s="24"/>
      <c r="F14" s="21">
        <f>AVERAGE(FORECAST($A14,F5:F13,$A5:$A13),F13*(AVERAGE(G6:G13)+1))</f>
        <v>2802774569730</v>
      </c>
      <c r="H14" s="22">
        <f>AVERAGE(FORECAST($A14,H5:H13,$A5:$A13),H13*(AVERAGE(I6:I13)+1))</f>
        <v>45912027.16</v>
      </c>
      <c r="J14" s="35">
        <f t="shared" si="2"/>
        <v>0.01976084477</v>
      </c>
      <c r="K14" s="36">
        <f>FORECAST(A14,K3:K13,A3:A13)</f>
        <v>895279385714</v>
      </c>
      <c r="L14" s="21">
        <f t="shared" si="29"/>
        <v>910504333377</v>
      </c>
      <c r="M14" s="21">
        <f t="shared" si="35"/>
        <v>15224947663</v>
      </c>
      <c r="N14" s="24">
        <f t="shared" si="4"/>
        <v>0.005432098545</v>
      </c>
      <c r="O14" s="24">
        <f>AVERAGE(FORECAST($A14,O3:O13,$A3:$A13),O13*(AVERAGE(P4:P13)+1))</f>
        <v>0.4267162562</v>
      </c>
      <c r="Q14" s="21">
        <f t="shared" si="31"/>
        <v>1195989471278</v>
      </c>
      <c r="R14" s="24">
        <f>FORECAST($A14,R3:R13,$A3:$A13)</f>
        <v>0.07</v>
      </c>
      <c r="S14" s="21">
        <f t="shared" si="6"/>
        <v>83719262989</v>
      </c>
      <c r="T14" s="24">
        <f t="shared" si="7"/>
        <v>0.02987013793</v>
      </c>
      <c r="U14" s="24">
        <f>FORECAST($A14,U3:U13,$A3:$A13)</f>
        <v>0.03850741286</v>
      </c>
      <c r="V14" s="21">
        <f t="shared" si="8"/>
        <v>61046.63076</v>
      </c>
      <c r="W14" s="21">
        <f t="shared" si="9"/>
        <v>58695.88295</v>
      </c>
      <c r="X14" s="37">
        <f>AVERAGE(FORECAST($A14,X3:X13,$A3:$A13),X13*(AVERAGE(Y4:Y13)+1))</f>
        <v>0.9569485126</v>
      </c>
      <c r="Z14" s="37">
        <f>AVERAGE(FORECAST($A14,Z3:Z13,$A3:$A13),Z13*(AVERAGE(AA4:AA13)+1))</f>
        <v>0.2690787661</v>
      </c>
      <c r="AB14" s="37">
        <f t="shared" si="10"/>
        <v>0.6878697465</v>
      </c>
      <c r="AC14" s="27">
        <f t="shared" ref="AC14:AF14" si="37">AC13+($AG14-$AG13)/4</f>
        <v>0.1580425786</v>
      </c>
      <c r="AD14" s="27">
        <f t="shared" si="37"/>
        <v>0.1480425786</v>
      </c>
      <c r="AE14" s="27">
        <f t="shared" si="37"/>
        <v>0.1310425786</v>
      </c>
      <c r="AF14" s="27">
        <f t="shared" si="37"/>
        <v>0.08104257859</v>
      </c>
      <c r="AG14" s="24">
        <f t="shared" si="33"/>
        <v>0.5181703144</v>
      </c>
      <c r="AH14" s="38">
        <f t="shared" si="13"/>
        <v>0.5134931198</v>
      </c>
      <c r="AI14" s="21">
        <f t="shared" si="14"/>
        <v>40375.12212</v>
      </c>
      <c r="AJ14" s="30" t="str">
        <f t="shared" si="15"/>
        <v>A</v>
      </c>
      <c r="AK14" s="30" t="str">
        <f t="shared" si="16"/>
        <v>0.51A</v>
      </c>
    </row>
    <row r="16">
      <c r="C16" s="45"/>
      <c r="D16" s="45"/>
      <c r="E16" s="45"/>
      <c r="F16" s="45"/>
      <c r="G16" s="45"/>
      <c r="H16" s="45"/>
      <c r="I16" s="45"/>
      <c r="J16" s="45"/>
      <c r="K16" s="45"/>
      <c r="L16" s="45"/>
      <c r="M16" s="45"/>
    </row>
    <row r="17">
      <c r="C17" s="45"/>
      <c r="D17" s="45"/>
      <c r="E17" s="45"/>
      <c r="F17" s="45"/>
      <c r="G17" s="45"/>
      <c r="H17" s="45"/>
      <c r="I17" s="47"/>
      <c r="J17" s="47"/>
      <c r="K17" s="47"/>
      <c r="L17" s="45"/>
      <c r="M17" s="45"/>
    </row>
    <row r="18">
      <c r="C18" s="45"/>
      <c r="D18" s="45"/>
      <c r="I18" s="46"/>
      <c r="J18" s="46"/>
      <c r="K18" s="46"/>
    </row>
    <row r="19">
      <c r="C19" s="45"/>
      <c r="D19" s="45"/>
      <c r="I19" s="46"/>
      <c r="J19" s="46"/>
      <c r="K19" s="46"/>
    </row>
    <row r="20">
      <c r="C20" s="45"/>
      <c r="D20" s="45"/>
      <c r="I20" s="46"/>
      <c r="J20" s="46"/>
      <c r="K20" s="46"/>
    </row>
    <row r="21">
      <c r="C21" s="45"/>
      <c r="D21" s="45"/>
      <c r="I21" s="46"/>
      <c r="J21" s="46"/>
      <c r="K21" s="46"/>
    </row>
    <row r="22">
      <c r="C22" s="45"/>
      <c r="D22" s="45"/>
      <c r="I22" s="46"/>
      <c r="J22" s="46"/>
      <c r="K22" s="46"/>
    </row>
    <row r="23">
      <c r="D23" s="45"/>
      <c r="I23" s="46"/>
      <c r="J23" s="46"/>
      <c r="K23" s="46"/>
    </row>
  </sheetData>
  <mergeCells count="1">
    <mergeCell ref="B1:AK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18.38"/>
    <col customWidth="1" min="16" max="16" width="18.5"/>
    <col customWidth="1" min="17" max="17" width="16.75"/>
    <col customWidth="1" min="19" max="19" width="14.38"/>
    <col customWidth="1" min="20" max="20" width="20.5"/>
    <col customWidth="1" min="35" max="35" width="19.88"/>
    <col customWidth="1" min="36" max="36" width="16.88"/>
  </cols>
  <sheetData>
    <row r="1">
      <c r="A1" s="1" t="s">
        <v>88</v>
      </c>
      <c r="B1" s="18" t="s">
        <v>120</v>
      </c>
      <c r="AL1" s="18"/>
      <c r="AM1" s="18"/>
      <c r="AN1" s="18"/>
      <c r="AO1" s="18"/>
      <c r="AP1" s="18"/>
      <c r="AQ1" s="18"/>
    </row>
    <row r="2">
      <c r="A2" s="1" t="s">
        <v>90</v>
      </c>
      <c r="B2" s="1" t="s">
        <v>20</v>
      </c>
      <c r="C2" s="1" t="s">
        <v>91</v>
      </c>
      <c r="D2" s="1" t="s">
        <v>92</v>
      </c>
      <c r="E2" s="1" t="s">
        <v>93</v>
      </c>
      <c r="F2" s="1" t="s">
        <v>19</v>
      </c>
      <c r="G2" s="1" t="s">
        <v>94</v>
      </c>
      <c r="H2" s="1" t="s">
        <v>95</v>
      </c>
      <c r="I2" s="1" t="s">
        <v>96</v>
      </c>
      <c r="J2" s="19" t="s">
        <v>97</v>
      </c>
      <c r="K2" s="1" t="s">
        <v>98</v>
      </c>
      <c r="L2" s="1" t="s">
        <v>99</v>
      </c>
      <c r="M2" s="1" t="s">
        <v>100</v>
      </c>
      <c r="N2" s="19" t="s">
        <v>102</v>
      </c>
      <c r="O2" s="1" t="s">
        <v>103</v>
      </c>
      <c r="P2" s="1" t="s">
        <v>104</v>
      </c>
      <c r="Q2" s="1" t="s">
        <v>105</v>
      </c>
      <c r="R2" s="1" t="s">
        <v>106</v>
      </c>
      <c r="S2" s="1" t="s">
        <v>107</v>
      </c>
      <c r="T2" s="19" t="s">
        <v>108</v>
      </c>
      <c r="U2" s="1" t="s">
        <v>25</v>
      </c>
      <c r="V2" s="1" t="s">
        <v>109</v>
      </c>
      <c r="W2" s="19" t="s">
        <v>5</v>
      </c>
      <c r="X2" s="1" t="s">
        <v>29</v>
      </c>
      <c r="Y2" s="1" t="s">
        <v>110</v>
      </c>
      <c r="Z2" s="1" t="s">
        <v>30</v>
      </c>
      <c r="AA2" s="1" t="s">
        <v>111</v>
      </c>
      <c r="AB2" s="19" t="s">
        <v>9</v>
      </c>
      <c r="AC2" s="1" t="s">
        <v>112</v>
      </c>
      <c r="AD2" s="1" t="s">
        <v>113</v>
      </c>
      <c r="AE2" s="1" t="s">
        <v>114</v>
      </c>
      <c r="AF2" s="1" t="s">
        <v>115</v>
      </c>
      <c r="AG2" s="19" t="s">
        <v>116</v>
      </c>
      <c r="AH2" s="20" t="s">
        <v>117</v>
      </c>
      <c r="AI2" s="20" t="s">
        <v>2</v>
      </c>
      <c r="AJ2" s="1" t="s">
        <v>118</v>
      </c>
      <c r="AK2" s="1" t="s">
        <v>119</v>
      </c>
      <c r="AL2" s="1"/>
      <c r="AM2" s="1"/>
      <c r="AN2" s="1"/>
      <c r="AO2" s="1"/>
      <c r="AP2" s="1"/>
      <c r="AQ2" s="1"/>
    </row>
    <row r="3">
      <c r="A3" s="1">
        <v>2019.0</v>
      </c>
      <c r="B3" s="21">
        <f>87.7*1000000000000</f>
        <v>87700000000000</v>
      </c>
      <c r="C3" s="21"/>
      <c r="D3" s="22">
        <f>7.81*10^9</f>
        <v>7810000000</v>
      </c>
      <c r="E3" s="22"/>
      <c r="F3" s="21">
        <v>1.39835E12</v>
      </c>
      <c r="G3" s="21"/>
      <c r="H3" s="32">
        <v>2.5334826E7</v>
      </c>
      <c r="I3" s="22"/>
      <c r="J3" s="23">
        <f t="shared" ref="J3:J14" si="2">F3/B3</f>
        <v>0.01594469783</v>
      </c>
      <c r="K3" s="21">
        <v>3.067868E11</v>
      </c>
      <c r="L3" s="21">
        <v>3.364776E11</v>
      </c>
      <c r="M3" s="21">
        <f t="shared" ref="M3:M8" si="3">L3-K3</f>
        <v>29690800000</v>
      </c>
      <c r="N3" s="23">
        <f t="shared" ref="N3:N14" si="4">M3/F3</f>
        <v>0.02123273858</v>
      </c>
      <c r="O3" s="31">
        <v>0.59983787</v>
      </c>
      <c r="P3" s="24"/>
      <c r="Q3" s="21">
        <f t="shared" ref="Q3:Q8" si="5">O3*F3</f>
        <v>838783285515</v>
      </c>
      <c r="R3" s="31">
        <v>0.01569823</v>
      </c>
      <c r="S3" s="21">
        <f t="shared" ref="S3:S14" si="6">Q3*R3</f>
        <v>13167412936</v>
      </c>
      <c r="T3" s="23">
        <f t="shared" ref="T3:T14" si="7">S3/F3</f>
        <v>0.009416392846</v>
      </c>
      <c r="U3" s="31">
        <v>0.01610768</v>
      </c>
      <c r="V3" s="21">
        <f t="shared" ref="V3:V14" si="8">F3/H3</f>
        <v>55194.77418</v>
      </c>
      <c r="W3" s="25">
        <f t="shared" ref="W3:W14" si="9">V3*(1-U3)</f>
        <v>54305.71442</v>
      </c>
      <c r="X3" s="3">
        <v>0.94</v>
      </c>
      <c r="Y3" s="3"/>
      <c r="Z3" s="41">
        <v>0.33799999999999997</v>
      </c>
      <c r="AA3" s="3"/>
      <c r="AB3" s="26">
        <f t="shared" ref="AB3:AB14" si="10">X3-Z3</f>
        <v>0.602</v>
      </c>
      <c r="AC3" s="27">
        <f t="shared" ref="AC3:AF3" si="1">AC4+($AG3-$AG4)/4</f>
        <v>0.05207885395</v>
      </c>
      <c r="AD3" s="27">
        <f t="shared" si="1"/>
        <v>0.07707885395</v>
      </c>
      <c r="AE3" s="27">
        <f t="shared" si="1"/>
        <v>0.07807885395</v>
      </c>
      <c r="AF3" s="27">
        <f t="shared" si="1"/>
        <v>0.03607885395</v>
      </c>
      <c r="AG3" s="23">
        <f t="shared" ref="AG3:AG8" si="12">AG4*95%</f>
        <v>0.2433154158</v>
      </c>
      <c r="AH3" s="39">
        <f t="shared" ref="AH3:AH14" si="13">AG3+J3+N3-T3</f>
        <v>0.2710764594</v>
      </c>
      <c r="AI3" s="29">
        <f t="shared" ref="AI3:AI14" si="14">W3*AB3</f>
        <v>32692.04008</v>
      </c>
      <c r="AJ3" s="30" t="str">
        <f t="shared" ref="AJ3:AJ14" si="15">IFS(
AI3&lt;=2500,"D-",
AI3&lt;=5000,"D",
AI3&lt;=10000,"D+",
AI3&lt;=12500,"C-",
AI3&lt;=15000,"C",
AI3&lt;=20000,"C+",
AI3&lt;=25000,"B-",
AI3&lt;=30000,"B",
AI3&lt;=35000,"B+",
AI3&lt;=40000,"A-",
AI3&lt;=50000,"A",
AI3&lt;=100000,"A+",
TRUE,"Out of range"
)
</f>
        <v>B+</v>
      </c>
      <c r="AK3" s="30" t="str">
        <f t="shared" ref="AK3:AK14" si="16">CONCAT(ROUND(AH3,2),AJ3)</f>
        <v>0.27B+</v>
      </c>
    </row>
    <row r="4">
      <c r="A4" s="1">
        <v>2020.0</v>
      </c>
      <c r="B4" s="21">
        <f>84.75*1000000000000</f>
        <v>84750000000000</v>
      </c>
      <c r="C4" s="24">
        <f t="shared" ref="C4:C13" si="17">(B4-B3)/B3</f>
        <v>-0.03363740023</v>
      </c>
      <c r="D4" s="22">
        <f>7.89*10^9</f>
        <v>7890000000</v>
      </c>
      <c r="E4" s="24">
        <f t="shared" ref="E4:E13" si="18">(D4-D3)/D3</f>
        <v>0.01024327785</v>
      </c>
      <c r="F4" s="21">
        <v>1.333336E12</v>
      </c>
      <c r="G4" s="24">
        <f t="shared" ref="G4:G13" si="19">(F4-F3)/F3</f>
        <v>-0.04649336718</v>
      </c>
      <c r="H4" s="32">
        <v>2.5649248E7</v>
      </c>
      <c r="I4" s="24">
        <f t="shared" ref="I4:I13" si="20">(H4-H3)/H3</f>
        <v>0.01241066349</v>
      </c>
      <c r="J4" s="23">
        <f t="shared" si="2"/>
        <v>0.01573257817</v>
      </c>
      <c r="K4" s="21">
        <v>2.741543E11</v>
      </c>
      <c r="L4" s="21">
        <v>3.191746E11</v>
      </c>
      <c r="M4" s="21">
        <f t="shared" si="3"/>
        <v>45020300000</v>
      </c>
      <c r="N4" s="23">
        <f t="shared" si="4"/>
        <v>0.03376515747</v>
      </c>
      <c r="O4" s="31">
        <v>0.69065654</v>
      </c>
      <c r="P4" s="24">
        <f t="shared" ref="P4:P13" si="21">(O4-O3)/O3</f>
        <v>0.1514053623</v>
      </c>
      <c r="Q4" s="21">
        <f t="shared" si="5"/>
        <v>920877228417</v>
      </c>
      <c r="R4" s="31">
        <f t="shared" ref="R4:R8" si="22">AVERAGE(R3,$R$9)</f>
        <v>0.027099115</v>
      </c>
      <c r="S4" s="21">
        <f t="shared" si="6"/>
        <v>24954957914</v>
      </c>
      <c r="T4" s="23">
        <f t="shared" si="7"/>
        <v>0.018716181</v>
      </c>
      <c r="U4" s="31">
        <v>0.00846906</v>
      </c>
      <c r="V4" s="21">
        <f t="shared" si="8"/>
        <v>51983.43437</v>
      </c>
      <c r="W4" s="25">
        <f t="shared" si="9"/>
        <v>51543.18354</v>
      </c>
      <c r="X4" s="3">
        <v>0.94</v>
      </c>
      <c r="Y4" s="31">
        <f t="shared" ref="Y4:Y13" si="23">(X4-X3)/X3</f>
        <v>0</v>
      </c>
      <c r="Z4" s="41">
        <v>0.33799999999999997</v>
      </c>
      <c r="AA4" s="31">
        <f t="shared" ref="AA4:AA13" si="24">(Z4-Z3)/Z4</f>
        <v>0</v>
      </c>
      <c r="AB4" s="26">
        <f t="shared" si="10"/>
        <v>0.602</v>
      </c>
      <c r="AC4" s="27">
        <f t="shared" ref="AC4:AF4" si="11">AC5+($AG4-$AG5)/4</f>
        <v>0.05528037258</v>
      </c>
      <c r="AD4" s="27">
        <f t="shared" si="11"/>
        <v>0.08028037258</v>
      </c>
      <c r="AE4" s="27">
        <f t="shared" si="11"/>
        <v>0.08128037258</v>
      </c>
      <c r="AF4" s="27">
        <f t="shared" si="11"/>
        <v>0.03928037258</v>
      </c>
      <c r="AG4" s="23">
        <f t="shared" si="12"/>
        <v>0.2561214903</v>
      </c>
      <c r="AH4" s="39">
        <f t="shared" si="13"/>
        <v>0.286903045</v>
      </c>
      <c r="AI4" s="29">
        <f t="shared" si="14"/>
        <v>31028.99649</v>
      </c>
      <c r="AJ4" s="30" t="str">
        <f t="shared" si="15"/>
        <v>B+</v>
      </c>
      <c r="AK4" s="30" t="str">
        <f t="shared" si="16"/>
        <v>0.29B+</v>
      </c>
    </row>
    <row r="5">
      <c r="A5" s="1">
        <v>2021.0</v>
      </c>
      <c r="B5" s="21">
        <f>96.14*1000000000000</f>
        <v>96140000000000</v>
      </c>
      <c r="C5" s="24">
        <f t="shared" si="17"/>
        <v>0.1343952802</v>
      </c>
      <c r="D5" s="22">
        <f>7.95*10^9</f>
        <v>7950000000</v>
      </c>
      <c r="E5" s="24">
        <f t="shared" si="18"/>
        <v>0.007604562738</v>
      </c>
      <c r="F5" s="21">
        <v>1.560617E12</v>
      </c>
      <c r="G5" s="24">
        <f t="shared" si="19"/>
        <v>0.1704604091</v>
      </c>
      <c r="H5" s="32">
        <v>2.5685412E7</v>
      </c>
      <c r="I5" s="24">
        <f t="shared" si="20"/>
        <v>0.00140994387</v>
      </c>
      <c r="J5" s="23">
        <f t="shared" si="2"/>
        <v>0.01623275432</v>
      </c>
      <c r="K5" s="21">
        <v>2.84039E11</v>
      </c>
      <c r="L5" s="21">
        <v>3.433642E11</v>
      </c>
      <c r="M5" s="21">
        <f t="shared" si="3"/>
        <v>59325200000</v>
      </c>
      <c r="N5" s="23">
        <f t="shared" si="4"/>
        <v>0.03801393936</v>
      </c>
      <c r="O5" s="31">
        <v>0.69836774</v>
      </c>
      <c r="P5" s="24">
        <f t="shared" si="21"/>
        <v>0.01116502857</v>
      </c>
      <c r="Q5" s="21">
        <f t="shared" si="5"/>
        <v>1089884567296</v>
      </c>
      <c r="R5" s="31">
        <f t="shared" si="22"/>
        <v>0.0327995575</v>
      </c>
      <c r="S5" s="21">
        <f t="shared" si="6"/>
        <v>35747731533</v>
      </c>
      <c r="T5" s="23">
        <f t="shared" si="7"/>
        <v>0.02290615284</v>
      </c>
      <c r="U5" s="31">
        <v>0.0286391</v>
      </c>
      <c r="V5" s="21">
        <f t="shared" si="8"/>
        <v>60758.88524</v>
      </c>
      <c r="W5" s="25">
        <f t="shared" si="9"/>
        <v>59018.80545</v>
      </c>
      <c r="X5" s="3">
        <v>0.95</v>
      </c>
      <c r="Y5" s="31">
        <f t="shared" si="23"/>
        <v>0.01063829787</v>
      </c>
      <c r="Z5" s="41">
        <f t="shared" ref="Z5:Z8" si="26">AVERAGE(Z4,$Z$9)</f>
        <v>0.331</v>
      </c>
      <c r="AA5" s="31">
        <f t="shared" si="24"/>
        <v>-0.02114803625</v>
      </c>
      <c r="AB5" s="26">
        <f t="shared" si="10"/>
        <v>0.619</v>
      </c>
      <c r="AC5" s="27">
        <f t="shared" ref="AC5:AF5" si="25">AC6+($AG5-$AG6)/4</f>
        <v>0.05865039219</v>
      </c>
      <c r="AD5" s="27">
        <f t="shared" si="25"/>
        <v>0.08365039219</v>
      </c>
      <c r="AE5" s="27">
        <f t="shared" si="25"/>
        <v>0.08465039219</v>
      </c>
      <c r="AF5" s="27">
        <f t="shared" si="25"/>
        <v>0.04265039219</v>
      </c>
      <c r="AG5" s="23">
        <f t="shared" si="12"/>
        <v>0.2696015688</v>
      </c>
      <c r="AH5" s="39">
        <f t="shared" si="13"/>
        <v>0.3009421096</v>
      </c>
      <c r="AI5" s="29">
        <f t="shared" si="14"/>
        <v>36532.64057</v>
      </c>
      <c r="AJ5" s="30" t="str">
        <f t="shared" si="15"/>
        <v>A-</v>
      </c>
      <c r="AK5" s="30" t="str">
        <f t="shared" si="16"/>
        <v>0.3A-</v>
      </c>
    </row>
    <row r="6">
      <c r="A6" s="1">
        <v>2022.0</v>
      </c>
      <c r="B6" s="21">
        <f>101.56*1000000000000</f>
        <v>101560000000000</v>
      </c>
      <c r="C6" s="24">
        <f t="shared" si="17"/>
        <v>0.05637611816</v>
      </c>
      <c r="D6" s="22">
        <f>8.02*10^9</f>
        <v>8020000000</v>
      </c>
      <c r="E6" s="24">
        <f t="shared" si="18"/>
        <v>0.008805031447</v>
      </c>
      <c r="F6" s="21">
        <v>1.695628E12</v>
      </c>
      <c r="G6" s="24">
        <f t="shared" si="19"/>
        <v>0.08651129649</v>
      </c>
      <c r="H6" s="32">
        <v>2.6018721E7</v>
      </c>
      <c r="I6" s="24">
        <f t="shared" si="20"/>
        <v>0.01297658764</v>
      </c>
      <c r="J6" s="23">
        <f t="shared" si="2"/>
        <v>0.01669582513</v>
      </c>
      <c r="K6" s="21">
        <v>3.430782E11</v>
      </c>
      <c r="L6" s="21">
        <v>4.317327E11</v>
      </c>
      <c r="M6" s="21">
        <f t="shared" si="3"/>
        <v>88654500000</v>
      </c>
      <c r="N6" s="23">
        <f t="shared" si="4"/>
        <v>0.05228416846</v>
      </c>
      <c r="O6" s="31">
        <v>0.57883429</v>
      </c>
      <c r="P6" s="24">
        <f t="shared" si="21"/>
        <v>-0.1711611851</v>
      </c>
      <c r="Q6" s="21">
        <f t="shared" si="5"/>
        <v>981487629484</v>
      </c>
      <c r="R6" s="31">
        <f t="shared" si="22"/>
        <v>0.03564977875</v>
      </c>
      <c r="S6" s="21">
        <f t="shared" si="6"/>
        <v>34989816837</v>
      </c>
      <c r="T6" s="23">
        <f t="shared" si="7"/>
        <v>0.02063531437</v>
      </c>
      <c r="U6" s="31">
        <v>0.06594097</v>
      </c>
      <c r="V6" s="21">
        <f t="shared" si="8"/>
        <v>65169.53697</v>
      </c>
      <c r="W6" s="25">
        <f t="shared" si="9"/>
        <v>60872.19448</v>
      </c>
      <c r="X6" s="3">
        <v>0.95</v>
      </c>
      <c r="Y6" s="31">
        <f t="shared" si="23"/>
        <v>0</v>
      </c>
      <c r="Z6" s="41">
        <f t="shared" si="26"/>
        <v>0.3275</v>
      </c>
      <c r="AA6" s="31">
        <f t="shared" si="24"/>
        <v>-0.0106870229</v>
      </c>
      <c r="AB6" s="26">
        <f t="shared" si="10"/>
        <v>0.6225</v>
      </c>
      <c r="AC6" s="27">
        <f t="shared" ref="AC6:AF6" si="27">AC7+($AG6-$AG7)/4</f>
        <v>0.06219778125</v>
      </c>
      <c r="AD6" s="27">
        <f t="shared" si="27"/>
        <v>0.08719778125</v>
      </c>
      <c r="AE6" s="27">
        <f t="shared" si="27"/>
        <v>0.08819778125</v>
      </c>
      <c r="AF6" s="27">
        <f t="shared" si="27"/>
        <v>0.04619778125</v>
      </c>
      <c r="AG6" s="23">
        <f t="shared" si="12"/>
        <v>0.283791125</v>
      </c>
      <c r="AH6" s="39">
        <f t="shared" si="13"/>
        <v>0.3321358042</v>
      </c>
      <c r="AI6" s="29">
        <f t="shared" si="14"/>
        <v>37892.94107</v>
      </c>
      <c r="AJ6" s="30" t="str">
        <f t="shared" si="15"/>
        <v>A-</v>
      </c>
      <c r="AK6" s="30" t="str">
        <f t="shared" si="16"/>
        <v>0.33A-</v>
      </c>
    </row>
    <row r="7">
      <c r="A7" s="1">
        <v>2023.0</v>
      </c>
      <c r="B7" s="21">
        <f>106.8*1000000000000</f>
        <v>106800000000000</v>
      </c>
      <c r="C7" s="24">
        <f t="shared" si="17"/>
        <v>0.05159511619</v>
      </c>
      <c r="D7" s="32">
        <f>8.09*10^9</f>
        <v>8090000000</v>
      </c>
      <c r="E7" s="24">
        <f t="shared" si="18"/>
        <v>0.008728179551</v>
      </c>
      <c r="F7" s="21">
        <v>1.734451E12</v>
      </c>
      <c r="G7" s="24">
        <f t="shared" si="19"/>
        <v>0.0228959418</v>
      </c>
      <c r="H7" s="32">
        <v>2.6659922E7</v>
      </c>
      <c r="I7" s="24">
        <f t="shared" si="20"/>
        <v>0.02464383242</v>
      </c>
      <c r="J7" s="23">
        <f t="shared" si="2"/>
        <v>0.0162401779</v>
      </c>
      <c r="K7" s="21">
        <v>3.875331E11</v>
      </c>
      <c r="L7" s="21">
        <v>4.63117E11</v>
      </c>
      <c r="M7" s="21">
        <f t="shared" si="3"/>
        <v>75583900000</v>
      </c>
      <c r="N7" s="23">
        <f t="shared" si="4"/>
        <v>0.04357799673</v>
      </c>
      <c r="O7" s="31">
        <f t="shared" ref="O7:O8" si="29">AVERAGE(O6,$O$9)</f>
        <v>0.535917145</v>
      </c>
      <c r="P7" s="24">
        <f t="shared" si="21"/>
        <v>-0.07414409571</v>
      </c>
      <c r="Q7" s="21">
        <f t="shared" si="5"/>
        <v>929522028062</v>
      </c>
      <c r="R7" s="31">
        <f t="shared" si="22"/>
        <v>0.03707488938</v>
      </c>
      <c r="S7" s="21">
        <f t="shared" si="6"/>
        <v>34461926362</v>
      </c>
      <c r="T7" s="23">
        <f t="shared" si="7"/>
        <v>0.01986906887</v>
      </c>
      <c r="U7" s="31">
        <v>0.055970149999999996</v>
      </c>
      <c r="V7" s="21">
        <f t="shared" si="8"/>
        <v>65058.36739</v>
      </c>
      <c r="W7" s="25">
        <f t="shared" si="9"/>
        <v>61417.04081</v>
      </c>
      <c r="X7" s="43">
        <v>0.958</v>
      </c>
      <c r="Y7" s="31">
        <f t="shared" si="23"/>
        <v>0.008421052632</v>
      </c>
      <c r="Z7" s="41">
        <f t="shared" si="26"/>
        <v>0.32575</v>
      </c>
      <c r="AA7" s="31">
        <f t="shared" si="24"/>
        <v>-0.005372217959</v>
      </c>
      <c r="AB7" s="26">
        <f t="shared" si="10"/>
        <v>0.63225</v>
      </c>
      <c r="AC7" s="27">
        <f t="shared" ref="AC7:AF7" si="28">AC8+($AG7-$AG8)/4</f>
        <v>0.065931875</v>
      </c>
      <c r="AD7" s="27">
        <f t="shared" si="28"/>
        <v>0.090931875</v>
      </c>
      <c r="AE7" s="27">
        <f t="shared" si="28"/>
        <v>0.091931875</v>
      </c>
      <c r="AF7" s="27">
        <f t="shared" si="28"/>
        <v>0.049931875</v>
      </c>
      <c r="AG7" s="23">
        <f t="shared" si="12"/>
        <v>0.2987275</v>
      </c>
      <c r="AH7" s="39">
        <f t="shared" si="13"/>
        <v>0.3386766058</v>
      </c>
      <c r="AI7" s="29">
        <f t="shared" si="14"/>
        <v>38830.92405</v>
      </c>
      <c r="AJ7" s="30" t="str">
        <f t="shared" si="15"/>
        <v>A-</v>
      </c>
      <c r="AK7" s="30" t="str">
        <f t="shared" si="16"/>
        <v>0.34A-</v>
      </c>
    </row>
    <row r="8">
      <c r="A8" s="1">
        <v>2024.0</v>
      </c>
      <c r="B8" s="21">
        <f>112.6*1000000000000</f>
        <v>112600000000000</v>
      </c>
      <c r="C8" s="24">
        <f t="shared" si="17"/>
        <v>0.0543071161</v>
      </c>
      <c r="D8" s="32">
        <v>8.161972572E9</v>
      </c>
      <c r="E8" s="24">
        <f t="shared" si="18"/>
        <v>0.008896486032</v>
      </c>
      <c r="F8" s="21">
        <v>1.757022E12</v>
      </c>
      <c r="G8" s="24">
        <f t="shared" si="19"/>
        <v>0.01301333967</v>
      </c>
      <c r="H8" s="32">
        <v>2.7196812E7</v>
      </c>
      <c r="I8" s="24">
        <f t="shared" si="20"/>
        <v>0.02013846852</v>
      </c>
      <c r="J8" s="23">
        <f t="shared" si="2"/>
        <v>0.01560410302</v>
      </c>
      <c r="K8" s="21">
        <v>3.957492E11</v>
      </c>
      <c r="L8" s="21">
        <v>4.326057E11</v>
      </c>
      <c r="M8" s="21">
        <f t="shared" si="3"/>
        <v>36856500000</v>
      </c>
      <c r="N8" s="23">
        <f t="shared" si="4"/>
        <v>0.02097668669</v>
      </c>
      <c r="O8" s="31">
        <f t="shared" si="29"/>
        <v>0.5144585725</v>
      </c>
      <c r="P8" s="24">
        <f t="shared" si="21"/>
        <v>-0.04004083971</v>
      </c>
      <c r="Q8" s="21">
        <f t="shared" si="5"/>
        <v>903915029971</v>
      </c>
      <c r="R8" s="31">
        <f t="shared" si="22"/>
        <v>0.03778744469</v>
      </c>
      <c r="S8" s="21">
        <f t="shared" si="6"/>
        <v>34156639197</v>
      </c>
      <c r="T8" s="23">
        <f t="shared" si="7"/>
        <v>0.01944007485</v>
      </c>
      <c r="U8" s="31">
        <v>0.03161614</v>
      </c>
      <c r="V8" s="21">
        <f t="shared" si="8"/>
        <v>64603.96902</v>
      </c>
      <c r="W8" s="25">
        <f t="shared" si="9"/>
        <v>62561.44089</v>
      </c>
      <c r="X8" s="43">
        <v>0.958</v>
      </c>
      <c r="Y8" s="31">
        <f t="shared" si="23"/>
        <v>0</v>
      </c>
      <c r="Z8" s="41">
        <f t="shared" si="26"/>
        <v>0.324875</v>
      </c>
      <c r="AA8" s="31">
        <f t="shared" si="24"/>
        <v>-0.002693343594</v>
      </c>
      <c r="AB8" s="26">
        <f t="shared" si="10"/>
        <v>0.633125</v>
      </c>
      <c r="AC8" s="27">
        <f t="shared" ref="AC8:AF8" si="30">AC9+($AG8-$AG9)/4</f>
        <v>0.0698625</v>
      </c>
      <c r="AD8" s="27">
        <f t="shared" si="30"/>
        <v>0.0948625</v>
      </c>
      <c r="AE8" s="27">
        <f t="shared" si="30"/>
        <v>0.0958625</v>
      </c>
      <c r="AF8" s="27">
        <f t="shared" si="30"/>
        <v>0.0538625</v>
      </c>
      <c r="AG8" s="23">
        <f t="shared" si="12"/>
        <v>0.31445</v>
      </c>
      <c r="AH8" s="39">
        <f t="shared" si="13"/>
        <v>0.3315907149</v>
      </c>
      <c r="AI8" s="29">
        <f t="shared" si="14"/>
        <v>39609.21227</v>
      </c>
      <c r="AJ8" s="30" t="str">
        <f t="shared" si="15"/>
        <v>A-</v>
      </c>
      <c r="AK8" s="30" t="str">
        <f t="shared" si="16"/>
        <v>0.33A-</v>
      </c>
    </row>
    <row r="9">
      <c r="A9" s="1">
        <v>2025.0</v>
      </c>
      <c r="B9" s="33">
        <v>1.13795678E14</v>
      </c>
      <c r="C9" s="24">
        <f t="shared" si="17"/>
        <v>0.01061880995</v>
      </c>
      <c r="D9" s="32">
        <v>8.23161307E9</v>
      </c>
      <c r="E9" s="24">
        <f t="shared" si="18"/>
        <v>0.008532312181</v>
      </c>
      <c r="F9" s="33">
        <v>1.772E12</v>
      </c>
      <c r="G9" s="24">
        <f t="shared" si="19"/>
        <v>0.00852465137</v>
      </c>
      <c r="H9" s="32">
        <v>2.79E7</v>
      </c>
      <c r="I9" s="24">
        <f t="shared" si="20"/>
        <v>0.02585553042</v>
      </c>
      <c r="J9" s="23">
        <f t="shared" si="2"/>
        <v>0.0155717689</v>
      </c>
      <c r="K9" s="33">
        <f>804000000000/2</f>
        <v>402000000000</v>
      </c>
      <c r="L9" s="21">
        <f t="shared" ref="L9:L14" si="31">K9+M9</f>
        <v>422000000000</v>
      </c>
      <c r="M9" s="33">
        <v>2.0E10</v>
      </c>
      <c r="N9" s="23">
        <f t="shared" si="4"/>
        <v>0.01128668172</v>
      </c>
      <c r="O9" s="24">
        <f>Q9/F9</f>
        <v>0.493</v>
      </c>
      <c r="P9" s="24">
        <f t="shared" si="21"/>
        <v>-0.04171098247</v>
      </c>
      <c r="Q9" s="33">
        <v>8.73596E11</v>
      </c>
      <c r="R9" s="31">
        <v>0.0385</v>
      </c>
      <c r="S9" s="21">
        <f t="shared" si="6"/>
        <v>33633446000</v>
      </c>
      <c r="T9" s="23">
        <f t="shared" si="7"/>
        <v>0.0189805</v>
      </c>
      <c r="U9" s="31">
        <v>0.024</v>
      </c>
      <c r="V9" s="21">
        <f t="shared" si="8"/>
        <v>63512.5448</v>
      </c>
      <c r="W9" s="25">
        <f t="shared" si="9"/>
        <v>61988.24373</v>
      </c>
      <c r="X9" s="43">
        <v>0.958</v>
      </c>
      <c r="Y9" s="31">
        <f t="shared" si="23"/>
        <v>0</v>
      </c>
      <c r="Z9" s="41">
        <v>0.324</v>
      </c>
      <c r="AA9" s="31">
        <f t="shared" si="24"/>
        <v>-0.002700617284</v>
      </c>
      <c r="AB9" s="26">
        <f t="shared" si="10"/>
        <v>0.634</v>
      </c>
      <c r="AC9" s="31">
        <v>0.074</v>
      </c>
      <c r="AD9" s="31">
        <v>0.099</v>
      </c>
      <c r="AE9" s="31">
        <v>0.1</v>
      </c>
      <c r="AF9" s="31">
        <v>0.058</v>
      </c>
      <c r="AG9" s="23">
        <f>SUM(AC9:AF9)</f>
        <v>0.331</v>
      </c>
      <c r="AH9" s="39">
        <f t="shared" si="13"/>
        <v>0.3388779506</v>
      </c>
      <c r="AI9" s="29">
        <f t="shared" si="14"/>
        <v>39300.54652</v>
      </c>
      <c r="AJ9" s="30" t="str">
        <f t="shared" si="15"/>
        <v>A-</v>
      </c>
      <c r="AK9" s="30" t="str">
        <f t="shared" si="16"/>
        <v>0.34A-</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1880324902527</v>
      </c>
      <c r="G10" s="24">
        <f t="shared" si="19"/>
        <v>0.06113143483</v>
      </c>
      <c r="H10" s="22">
        <f>AVERAGE(FORECAST(A10,H3:H9,$A$3:$A$9),H9*(AVERAGE(I4:I9)+1))</f>
        <v>28191543.65</v>
      </c>
      <c r="I10" s="24">
        <f t="shared" si="20"/>
        <v>0.01044959321</v>
      </c>
      <c r="J10" s="35">
        <f t="shared" si="2"/>
        <v>0.01566104637</v>
      </c>
      <c r="K10" s="36">
        <f>FORECAST(A10,K3:K9,A3:A9)</f>
        <v>432237728571</v>
      </c>
      <c r="L10" s="36">
        <f t="shared" si="31"/>
        <v>478807714286</v>
      </c>
      <c r="M10" s="21">
        <f>FORECAST(A10,M3:M9,$A$3:$A$9)</f>
        <v>46569985714</v>
      </c>
      <c r="N10" s="24">
        <f t="shared" si="4"/>
        <v>0.02476698875</v>
      </c>
      <c r="O10" s="24">
        <f>AVERAGE(FORECAST(A10,O3:O9,$A$3:$A$9),O9*(AVERAGE(P4:P9)+1))</f>
        <v>0.4737217674</v>
      </c>
      <c r="P10" s="24">
        <f t="shared" si="21"/>
        <v>-0.03910392009</v>
      </c>
      <c r="Q10" s="21">
        <f t="shared" ref="Q10:Q14" si="33">O10*F10</f>
        <v>890750836106</v>
      </c>
      <c r="R10" s="24">
        <f>FORECAST(A10,R3:R9,$A$3:$A$9)</f>
        <v>0.04552375951</v>
      </c>
      <c r="S10" s="21">
        <f t="shared" si="6"/>
        <v>40550326845</v>
      </c>
      <c r="T10" s="24">
        <f t="shared" si="7"/>
        <v>0.02156559581</v>
      </c>
      <c r="U10" s="24">
        <f>FORECAST(A10,U3:U9,$A$3:$A$9)</f>
        <v>0.04686361</v>
      </c>
      <c r="V10" s="21">
        <f t="shared" si="8"/>
        <v>66698.18886</v>
      </c>
      <c r="W10" s="21">
        <f t="shared" si="9"/>
        <v>63572.47095</v>
      </c>
      <c r="X10" s="37">
        <f>AVERAGE(FORECAST(A10,X3:X9,$A$3:$A$9),X9*(AVERAGE(Y4:Y9)+1))</f>
        <v>0.9628072858</v>
      </c>
      <c r="Y10" s="31">
        <f t="shared" si="23"/>
        <v>0.005018043599</v>
      </c>
      <c r="Z10" s="38">
        <f>AVERAGE(FORECAST(A10,Z3:Z9,$A$3:$A$9),Z9*(AVERAGE(AA4:AA9)+1))</f>
        <v>0.3205372666</v>
      </c>
      <c r="AA10" s="31">
        <f t="shared" si="24"/>
        <v>-0.01080290433</v>
      </c>
      <c r="AB10" s="37">
        <f t="shared" si="10"/>
        <v>0.6422700192</v>
      </c>
      <c r="AC10" s="27">
        <f t="shared" ref="AC10:AF10" si="32">AC9+($AG10-$AG9)/4</f>
        <v>0.0781375</v>
      </c>
      <c r="AD10" s="27">
        <f t="shared" si="32"/>
        <v>0.1031375</v>
      </c>
      <c r="AE10" s="27">
        <f t="shared" si="32"/>
        <v>0.1041375</v>
      </c>
      <c r="AF10" s="27">
        <f t="shared" si="32"/>
        <v>0.0621375</v>
      </c>
      <c r="AG10" s="24">
        <f t="shared" ref="AG10:AG14" si="35">AG9*1.05</f>
        <v>0.34755</v>
      </c>
      <c r="AH10" s="38">
        <f t="shared" si="13"/>
        <v>0.3664124393</v>
      </c>
      <c r="AI10" s="21">
        <f t="shared" si="14"/>
        <v>40830.69213</v>
      </c>
      <c r="AJ10" s="30" t="str">
        <f t="shared" si="15"/>
        <v>A</v>
      </c>
      <c r="AK10" s="30" t="str">
        <f t="shared" si="16"/>
        <v>0.37A</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1969285380524</v>
      </c>
      <c r="G11" s="24">
        <f t="shared" si="19"/>
        <v>0.04731122684</v>
      </c>
      <c r="H11" s="22">
        <f>AVERAGE(FORECAST($A11,H3:H10,$A3:$A10),H10*(AVERAGE(I4:I10)+1))</f>
        <v>28578498.77</v>
      </c>
      <c r="I11" s="24">
        <f t="shared" si="20"/>
        <v>0.01372592878</v>
      </c>
      <c r="J11" s="35">
        <f t="shared" si="2"/>
        <v>0.01566212187</v>
      </c>
      <c r="K11" s="36">
        <f>FORECAST(A11,K3:K10,A3:A10)</f>
        <v>454820710714</v>
      </c>
      <c r="L11" s="21">
        <f t="shared" si="31"/>
        <v>500349935714</v>
      </c>
      <c r="M11" s="21">
        <f>FORECAST($A11,M3:M10,$A3:$A10)</f>
        <v>45529225000</v>
      </c>
      <c r="N11" s="24">
        <f t="shared" si="4"/>
        <v>0.02311966841</v>
      </c>
      <c r="O11" s="24">
        <f>AVERAGE(FORECAST($A11,O3:O10,$A3:$A10),O10*(AVERAGE(P4:P10)+1))</f>
        <v>0.4504749441</v>
      </c>
      <c r="P11" s="24">
        <f t="shared" si="21"/>
        <v>-0.04907273616</v>
      </c>
      <c r="Q11" s="21">
        <f t="shared" si="33"/>
        <v>887113721693</v>
      </c>
      <c r="R11" s="24">
        <f>FORECAST($A11,R3:R10,$A3:$A10)</f>
        <v>0.04888294884</v>
      </c>
      <c r="S11" s="21">
        <f t="shared" si="6"/>
        <v>43364734672</v>
      </c>
      <c r="T11" s="24">
        <f t="shared" si="7"/>
        <v>0.02202054365</v>
      </c>
      <c r="U11" s="24">
        <f>FORECAST($A11,U3:U10,$A3:$A10)</f>
        <v>0.0503386875</v>
      </c>
      <c r="V11" s="21">
        <f t="shared" si="8"/>
        <v>68907.93657</v>
      </c>
      <c r="W11" s="21">
        <f t="shared" si="9"/>
        <v>65439.20148</v>
      </c>
      <c r="X11" s="37">
        <f>AVERAGE(FORECAST($A11,X3:X10,$A3:$A10),X10*(AVERAGE(Y4:Y10)+1))</f>
        <v>0.9666541708</v>
      </c>
      <c r="Y11" s="31">
        <f t="shared" si="23"/>
        <v>0.003995488066</v>
      </c>
      <c r="Z11" s="38">
        <f>AVERAGE(FORECAST($A11,Z3:Z10,$A3:$A10),Z10*(AVERAGE(AA4:AA10)+1))</f>
        <v>0.3177114844</v>
      </c>
      <c r="AA11" s="31">
        <f t="shared" si="24"/>
        <v>-0.008894177076</v>
      </c>
      <c r="AB11" s="37">
        <f t="shared" si="10"/>
        <v>0.6489426864</v>
      </c>
      <c r="AC11" s="27">
        <f t="shared" ref="AC11:AF11" si="34">AC10+($AG11-$AG10)/4</f>
        <v>0.082481875</v>
      </c>
      <c r="AD11" s="27">
        <f t="shared" si="34"/>
        <v>0.107481875</v>
      </c>
      <c r="AE11" s="27">
        <f t="shared" si="34"/>
        <v>0.108481875</v>
      </c>
      <c r="AF11" s="27">
        <f t="shared" si="34"/>
        <v>0.066481875</v>
      </c>
      <c r="AG11" s="24">
        <f t="shared" si="35"/>
        <v>0.3649275</v>
      </c>
      <c r="AH11" s="38">
        <f t="shared" si="13"/>
        <v>0.3816887466</v>
      </c>
      <c r="AI11" s="21">
        <f t="shared" si="14"/>
        <v>42466.29121</v>
      </c>
      <c r="AJ11" s="30" t="str">
        <f t="shared" si="15"/>
        <v>A</v>
      </c>
      <c r="AK11" s="30" t="str">
        <f t="shared" si="16"/>
        <v>0.38A</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2052012618444</v>
      </c>
      <c r="G12" s="24">
        <f t="shared" si="19"/>
        <v>0.04200876051</v>
      </c>
      <c r="H12" s="22">
        <f>AVERAGE(FORECAST($A12,H3:H11,$A3:$A11),H11*(AVERAGE(I4:I11)+1))</f>
        <v>28999332.44</v>
      </c>
      <c r="I12" s="24">
        <f t="shared" si="20"/>
        <v>0.01472553445</v>
      </c>
      <c r="J12" s="35">
        <f t="shared" si="2"/>
        <v>0.01563587787</v>
      </c>
      <c r="K12" s="36">
        <f>FORECAST(A12,K3:K11,A3:A11)</f>
        <v>477403692857</v>
      </c>
      <c r="L12" s="21">
        <f t="shared" si="31"/>
        <v>521892157143</v>
      </c>
      <c r="M12" s="21">
        <f t="shared" ref="M12:M14" si="37">FORECAST($A12,M3:M11,$A3:$A11)</f>
        <v>44488464286</v>
      </c>
      <c r="N12" s="24">
        <f t="shared" si="4"/>
        <v>0.02168040483</v>
      </c>
      <c r="O12" s="24">
        <f>AVERAGE(FORECAST($A12,O3:O11,$A3:$A11),O11*(AVERAGE(P4:P11)+1))</f>
        <v>0.4260540067</v>
      </c>
      <c r="P12" s="24">
        <f t="shared" si="21"/>
        <v>-0.05421153325</v>
      </c>
      <c r="Q12" s="21">
        <f t="shared" si="33"/>
        <v>874268197849</v>
      </c>
      <c r="R12" s="24">
        <f>FORECAST($A12,R3:R11,$A3:$A11)</f>
        <v>0.05224213817</v>
      </c>
      <c r="S12" s="21">
        <f t="shared" si="6"/>
        <v>45673639989</v>
      </c>
      <c r="T12" s="24">
        <f t="shared" si="7"/>
        <v>0.02225797228</v>
      </c>
      <c r="U12" s="24">
        <f>FORECAST($A12,U3:U11,$A3:$A11)</f>
        <v>0.053813765</v>
      </c>
      <c r="V12" s="21">
        <f t="shared" si="8"/>
        <v>70760.68467</v>
      </c>
      <c r="W12" s="21">
        <f t="shared" si="9"/>
        <v>66952.78582</v>
      </c>
      <c r="X12" s="37">
        <f>AVERAGE(FORECAST($A12,X3:X11,$A3:$A11),X11*(AVERAGE(Y4:Y11)+1))</f>
        <v>0.9701753758</v>
      </c>
      <c r="Y12" s="31">
        <f t="shared" si="23"/>
        <v>0.003642672923</v>
      </c>
      <c r="Z12" s="37">
        <f>AVERAGE(FORECAST($A12,Z3:Z11,$A3:$A11),Z11*(AVERAGE(AA4:AA11)+1))</f>
        <v>0.3151047033</v>
      </c>
      <c r="AA12" s="31">
        <f t="shared" si="24"/>
        <v>-0.00827274553</v>
      </c>
      <c r="AB12" s="37">
        <f t="shared" si="10"/>
        <v>0.6550706724</v>
      </c>
      <c r="AC12" s="27">
        <f t="shared" ref="AC12:AF12" si="36">AC11+($AG12-$AG11)/4</f>
        <v>0.08704346875</v>
      </c>
      <c r="AD12" s="27">
        <f t="shared" si="36"/>
        <v>0.1120434688</v>
      </c>
      <c r="AE12" s="27">
        <f t="shared" si="36"/>
        <v>0.1130434688</v>
      </c>
      <c r="AF12" s="27">
        <f t="shared" si="36"/>
        <v>0.07104346875</v>
      </c>
      <c r="AG12" s="24">
        <f t="shared" si="35"/>
        <v>0.383173875</v>
      </c>
      <c r="AH12" s="38">
        <f t="shared" si="13"/>
        <v>0.3982321854</v>
      </c>
      <c r="AI12" s="21">
        <f t="shared" si="14"/>
        <v>43858.80642</v>
      </c>
      <c r="AJ12" s="30" t="str">
        <f t="shared" si="15"/>
        <v>A</v>
      </c>
      <c r="AK12" s="30" t="str">
        <f t="shared" si="16"/>
        <v>0.4A</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2132949995220</v>
      </c>
      <c r="G13" s="24">
        <f t="shared" si="19"/>
        <v>0.03944292352</v>
      </c>
      <c r="H13" s="22">
        <f>AVERAGE(FORECAST($A13,H3:H12,$A3:$A12),H12*(AVERAGE(I4:I12)+1))</f>
        <v>29433307.84</v>
      </c>
      <c r="I13" s="24">
        <f t="shared" si="20"/>
        <v>0.01496501362</v>
      </c>
      <c r="J13" s="35">
        <f t="shared" si="2"/>
        <v>0.01560172122</v>
      </c>
      <c r="K13" s="36">
        <f>FORECAST(A13,K3:K12,A3:A12)</f>
        <v>499986675000</v>
      </c>
      <c r="L13" s="21">
        <f t="shared" si="31"/>
        <v>536050778075</v>
      </c>
      <c r="M13" s="21">
        <f t="shared" si="37"/>
        <v>36064103075</v>
      </c>
      <c r="N13" s="24">
        <f t="shared" si="4"/>
        <v>0.01690808653</v>
      </c>
      <c r="O13" s="24">
        <f>AVERAGE(FORECAST($A13,O3:O12,$A3:$A12),O12*(AVERAGE(P4:P12)+1))</f>
        <v>0.4013708996</v>
      </c>
      <c r="P13" s="24">
        <f t="shared" si="21"/>
        <v>-0.05793422123</v>
      </c>
      <c r="Q13" s="21">
        <f t="shared" si="33"/>
        <v>856104058385</v>
      </c>
      <c r="R13" s="24">
        <f>FORECAST($A13,R3:R12,$A3:$A12)</f>
        <v>0.0556013275</v>
      </c>
      <c r="S13" s="21">
        <f t="shared" si="6"/>
        <v>47600522124</v>
      </c>
      <c r="T13" s="24">
        <f t="shared" si="7"/>
        <v>0.02231675484</v>
      </c>
      <c r="U13" s="24">
        <f>FORECAST($A13,U3:U12,$A3:$A12)</f>
        <v>0.0572888425</v>
      </c>
      <c r="V13" s="21">
        <f t="shared" si="8"/>
        <v>72467.22001</v>
      </c>
      <c r="W13" s="21">
        <f t="shared" si="9"/>
        <v>68315.65686</v>
      </c>
      <c r="X13" s="37">
        <f>AVERAGE(FORECAST($A13,X3:X12,$A3:$A12),X12*(AVERAGE(Y4:Y12)+1))</f>
        <v>0.973582188</v>
      </c>
      <c r="Y13" s="31">
        <f t="shared" si="23"/>
        <v>0.003511542644</v>
      </c>
      <c r="Z13" s="37">
        <f>AVERAGE(FORECAST($A13,Z3:Z12,$A3:$A12),Z12*(AVERAGE(AA4:AA12)+1))</f>
        <v>0.3125781045</v>
      </c>
      <c r="AA13" s="31">
        <f t="shared" si="24"/>
        <v>-0.00808309614</v>
      </c>
      <c r="AB13" s="37">
        <f t="shared" si="10"/>
        <v>0.6610040835</v>
      </c>
      <c r="AC13" s="27">
        <f t="shared" ref="AC13:AF13" si="38">AC12+($AG13-$AG12)/4</f>
        <v>0.09183314219</v>
      </c>
      <c r="AD13" s="27">
        <f t="shared" si="38"/>
        <v>0.1168331422</v>
      </c>
      <c r="AE13" s="27">
        <f t="shared" si="38"/>
        <v>0.1178331422</v>
      </c>
      <c r="AF13" s="27">
        <f t="shared" si="38"/>
        <v>0.07583314219</v>
      </c>
      <c r="AG13" s="24">
        <f t="shared" si="35"/>
        <v>0.4023325688</v>
      </c>
      <c r="AH13" s="38">
        <f t="shared" si="13"/>
        <v>0.4125256217</v>
      </c>
      <c r="AI13" s="21">
        <f t="shared" si="14"/>
        <v>45156.92815</v>
      </c>
      <c r="AJ13" s="30" t="str">
        <f t="shared" si="15"/>
        <v>A</v>
      </c>
      <c r="AK13" s="30" t="str">
        <f t="shared" si="16"/>
        <v>0.41A</v>
      </c>
    </row>
    <row r="14">
      <c r="A14" s="34">
        <v>2030.0</v>
      </c>
      <c r="B14" s="21">
        <f>AVERAGE(FORECAST($A14,B5:B13,$A5:$A13),B13*(AVERAGE(C6:C13)+1))</f>
        <v>141834754671550</v>
      </c>
      <c r="C14" s="24"/>
      <c r="D14" s="22">
        <f>AVERAGE(FORECAST($A14,D5:D13,$A5:$A13),D13*(AVERAGE(E6:E13)+1))</f>
        <v>8586617399</v>
      </c>
      <c r="E14" s="24"/>
      <c r="F14" s="21">
        <f>AVERAGE(FORECAST($A14,F5:F13,$A5:$A13),F13*(AVERAGE(G6:G13)+1))</f>
        <v>2193572810824</v>
      </c>
      <c r="H14" s="22">
        <f>AVERAGE(FORECAST($A14,H5:H13,$A5:$A13),H13*(AVERAGE(I6:I13)+1))</f>
        <v>29982756.46</v>
      </c>
      <c r="J14" s="35">
        <f t="shared" si="2"/>
        <v>0.01546569327</v>
      </c>
      <c r="K14" s="36">
        <f>FORECAST(A14,K3:K13,A3:A13)</f>
        <v>522569657143</v>
      </c>
      <c r="L14" s="21">
        <f t="shared" si="31"/>
        <v>549916113668</v>
      </c>
      <c r="M14" s="21">
        <f t="shared" si="37"/>
        <v>27346456526</v>
      </c>
      <c r="N14" s="24">
        <f t="shared" si="4"/>
        <v>0.01246662814</v>
      </c>
      <c r="O14" s="24">
        <f>AVERAGE(FORECAST($A14,O3:O13,$A3:$A13),O13*(AVERAGE(P4:P13)+1))</f>
        <v>0.3767349178</v>
      </c>
      <c r="Q14" s="21">
        <f t="shared" si="33"/>
        <v>826395472469</v>
      </c>
      <c r="R14" s="24">
        <f>FORECAST($A14,R3:R13,$A3:$A13)</f>
        <v>0.05896051683</v>
      </c>
      <c r="S14" s="21">
        <f t="shared" si="6"/>
        <v>48724704163</v>
      </c>
      <c r="T14" s="24">
        <f t="shared" si="7"/>
        <v>0.02221248546</v>
      </c>
      <c r="U14" s="24">
        <f>FORECAST($A14,U3:U13,$A3:$A13)</f>
        <v>0.06076392</v>
      </c>
      <c r="V14" s="21">
        <f t="shared" si="8"/>
        <v>73161.14561</v>
      </c>
      <c r="W14" s="21">
        <f t="shared" si="9"/>
        <v>68715.58761</v>
      </c>
      <c r="X14" s="37">
        <f>AVERAGE(FORECAST($A14,X3:X13,$A3:$A13),X13*(AVERAGE(Y4:Y13)+1))</f>
        <v>0.9769483148</v>
      </c>
      <c r="Z14" s="37">
        <f>AVERAGE(FORECAST($A14,Z3:Z13,$A3:$A13),Z13*(AVERAGE(AA4:AA13)+1))</f>
        <v>0.3100832989</v>
      </c>
      <c r="AB14" s="37">
        <f t="shared" si="10"/>
        <v>0.6668650159</v>
      </c>
      <c r="AC14" s="27">
        <f t="shared" ref="AC14:AF14" si="39">AC13+($AG14-$AG13)/4</f>
        <v>0.0968622993</v>
      </c>
      <c r="AD14" s="27">
        <f t="shared" si="39"/>
        <v>0.1218622993</v>
      </c>
      <c r="AE14" s="27">
        <f t="shared" si="39"/>
        <v>0.1228622993</v>
      </c>
      <c r="AF14" s="27">
        <f t="shared" si="39"/>
        <v>0.0808622993</v>
      </c>
      <c r="AG14" s="24">
        <f t="shared" si="35"/>
        <v>0.4224491972</v>
      </c>
      <c r="AH14" s="38">
        <f t="shared" si="13"/>
        <v>0.4281690331</v>
      </c>
      <c r="AI14" s="21">
        <f t="shared" si="14"/>
        <v>45824.02143</v>
      </c>
      <c r="AJ14" s="30" t="str">
        <f t="shared" si="15"/>
        <v>A</v>
      </c>
      <c r="AK14" s="30" t="str">
        <f t="shared" si="16"/>
        <v>0.43A</v>
      </c>
    </row>
    <row r="16">
      <c r="C16" s="45"/>
      <c r="D16" s="45"/>
      <c r="E16" s="45"/>
      <c r="F16" s="45"/>
      <c r="G16" s="45"/>
      <c r="H16" s="45"/>
      <c r="I16" s="45"/>
      <c r="J16" s="45"/>
      <c r="K16" s="45"/>
      <c r="L16" s="45"/>
      <c r="M16" s="45"/>
    </row>
    <row r="17">
      <c r="C17" s="45"/>
      <c r="I17" s="46"/>
      <c r="J17" s="46"/>
      <c r="K17" s="46"/>
    </row>
    <row r="18">
      <c r="C18" s="45"/>
      <c r="E18" s="45"/>
      <c r="F18" s="45"/>
      <c r="G18" s="45"/>
      <c r="H18" s="45"/>
      <c r="I18" s="47"/>
      <c r="J18" s="47"/>
      <c r="K18" s="47"/>
      <c r="L18" s="45"/>
      <c r="M18" s="45"/>
      <c r="N18" s="45"/>
      <c r="O18" s="45"/>
    </row>
    <row r="19">
      <c r="C19" s="45"/>
      <c r="E19" s="45"/>
      <c r="I19" s="46"/>
      <c r="J19" s="46"/>
      <c r="K19" s="46"/>
      <c r="L19" s="46"/>
      <c r="M19" s="46"/>
    </row>
    <row r="20">
      <c r="C20" s="45"/>
      <c r="E20" s="45"/>
      <c r="I20" s="46"/>
      <c r="J20" s="46"/>
      <c r="K20" s="46"/>
      <c r="L20" s="46"/>
      <c r="M20" s="46"/>
    </row>
    <row r="21">
      <c r="C21" s="45"/>
      <c r="E21" s="45"/>
      <c r="I21" s="46"/>
      <c r="J21" s="46"/>
      <c r="K21" s="46"/>
      <c r="L21" s="46"/>
      <c r="M21" s="46"/>
    </row>
    <row r="22">
      <c r="C22" s="45"/>
      <c r="E22" s="45"/>
      <c r="I22" s="46"/>
      <c r="J22" s="46"/>
      <c r="K22" s="46"/>
      <c r="L22" s="46"/>
      <c r="M22" s="46"/>
    </row>
    <row r="23">
      <c r="E23" s="45"/>
      <c r="K23" s="46"/>
      <c r="L23" s="46"/>
      <c r="M23" s="46"/>
    </row>
    <row r="24">
      <c r="E24" s="45"/>
      <c r="K24" s="46"/>
      <c r="L24" s="46"/>
      <c r="M24" s="46"/>
    </row>
  </sheetData>
  <mergeCells count="1">
    <mergeCell ref="B1:AK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18.38"/>
    <col customWidth="1" min="16" max="16" width="18.5"/>
    <col customWidth="1" min="17" max="17" width="16.75"/>
    <col customWidth="1" min="19" max="19" width="14.38"/>
    <col customWidth="1" min="20" max="20" width="20.5"/>
    <col customWidth="1" min="35" max="35" width="19.88"/>
    <col customWidth="1" min="36" max="36" width="16.88"/>
  </cols>
  <sheetData>
    <row r="1">
      <c r="A1" s="1" t="s">
        <v>88</v>
      </c>
      <c r="B1" s="18" t="s">
        <v>120</v>
      </c>
      <c r="AL1" s="18"/>
      <c r="AM1" s="18"/>
      <c r="AN1" s="18"/>
      <c r="AO1" s="18"/>
      <c r="AP1" s="18"/>
      <c r="AQ1" s="18"/>
    </row>
    <row r="2">
      <c r="A2" s="1" t="s">
        <v>90</v>
      </c>
      <c r="B2" s="1" t="s">
        <v>20</v>
      </c>
      <c r="C2" s="1" t="s">
        <v>91</v>
      </c>
      <c r="D2" s="1" t="s">
        <v>92</v>
      </c>
      <c r="E2" s="1" t="s">
        <v>93</v>
      </c>
      <c r="F2" s="1" t="s">
        <v>19</v>
      </c>
      <c r="G2" s="1" t="s">
        <v>94</v>
      </c>
      <c r="H2" s="1" t="s">
        <v>95</v>
      </c>
      <c r="I2" s="1" t="s">
        <v>96</v>
      </c>
      <c r="J2" s="19" t="s">
        <v>97</v>
      </c>
      <c r="K2" s="1" t="s">
        <v>98</v>
      </c>
      <c r="L2" s="1" t="s">
        <v>99</v>
      </c>
      <c r="M2" s="1" t="s">
        <v>100</v>
      </c>
      <c r="N2" s="19" t="s">
        <v>102</v>
      </c>
      <c r="O2" s="1" t="s">
        <v>103</v>
      </c>
      <c r="P2" s="1" t="s">
        <v>104</v>
      </c>
      <c r="Q2" s="1" t="s">
        <v>105</v>
      </c>
      <c r="R2" s="1" t="s">
        <v>106</v>
      </c>
      <c r="S2" s="1" t="s">
        <v>107</v>
      </c>
      <c r="T2" s="19" t="s">
        <v>108</v>
      </c>
      <c r="U2" s="1" t="s">
        <v>25</v>
      </c>
      <c r="V2" s="1" t="s">
        <v>109</v>
      </c>
      <c r="W2" s="19" t="s">
        <v>5</v>
      </c>
      <c r="X2" s="1" t="s">
        <v>29</v>
      </c>
      <c r="Y2" s="1" t="s">
        <v>110</v>
      </c>
      <c r="Z2" s="1" t="s">
        <v>30</v>
      </c>
      <c r="AA2" s="1" t="s">
        <v>111</v>
      </c>
      <c r="AB2" s="19" t="s">
        <v>9</v>
      </c>
      <c r="AC2" s="1" t="s">
        <v>112</v>
      </c>
      <c r="AD2" s="1" t="s">
        <v>113</v>
      </c>
      <c r="AE2" s="1" t="s">
        <v>114</v>
      </c>
      <c r="AF2" s="1" t="s">
        <v>115</v>
      </c>
      <c r="AG2" s="19" t="s">
        <v>116</v>
      </c>
      <c r="AH2" s="20" t="s">
        <v>117</v>
      </c>
      <c r="AI2" s="20" t="s">
        <v>2</v>
      </c>
      <c r="AJ2" s="1" t="s">
        <v>118</v>
      </c>
      <c r="AK2" s="1" t="s">
        <v>119</v>
      </c>
      <c r="AL2" s="1"/>
      <c r="AM2" s="1"/>
      <c r="AN2" s="1"/>
      <c r="AO2" s="1"/>
      <c r="AP2" s="1"/>
      <c r="AQ2" s="1"/>
    </row>
    <row r="3">
      <c r="A3" s="1">
        <v>2019.0</v>
      </c>
      <c r="B3" s="21">
        <f>87.7*1000000000000</f>
        <v>87700000000000</v>
      </c>
      <c r="C3" s="21"/>
      <c r="D3" s="22">
        <f>7.81*10^9</f>
        <v>7810000000</v>
      </c>
      <c r="E3" s="22"/>
      <c r="F3" s="21">
        <v>9.28903E11</v>
      </c>
      <c r="G3" s="21"/>
      <c r="H3" s="32">
        <v>1.7344874E7</v>
      </c>
      <c r="I3" s="22"/>
      <c r="J3" s="23">
        <f t="shared" ref="J3:J14" si="2">F3/B3</f>
        <v>0.0105918244</v>
      </c>
      <c r="K3" s="21">
        <v>6.999817E11</v>
      </c>
      <c r="L3" s="21">
        <v>7.925488E11</v>
      </c>
      <c r="M3" s="21">
        <f t="shared" ref="M3:M8" si="3">L3-K3</f>
        <v>92567100000</v>
      </c>
      <c r="N3" s="23">
        <f t="shared" ref="N3:N14" si="4">M3/F3</f>
        <v>0.0996520627</v>
      </c>
      <c r="O3" s="31">
        <v>0.477</v>
      </c>
      <c r="P3" s="24"/>
      <c r="Q3" s="21">
        <f t="shared" ref="Q3:Q8" si="5">O3*F3</f>
        <v>443086731000</v>
      </c>
      <c r="R3" s="31">
        <v>0.0</v>
      </c>
      <c r="S3" s="21">
        <f t="shared" ref="S3:S14" si="6">Q3*R3</f>
        <v>0</v>
      </c>
      <c r="T3" s="23">
        <f t="shared" ref="T3:T14" si="7">S3/F3</f>
        <v>0</v>
      </c>
      <c r="U3" s="31">
        <v>0.02633699</v>
      </c>
      <c r="V3" s="21">
        <f t="shared" ref="V3:V14" si="8">F3/H3</f>
        <v>53554.90043</v>
      </c>
      <c r="W3" s="25">
        <f t="shared" ref="W3:W14" si="9">V3*(1-U3)</f>
        <v>52144.42555</v>
      </c>
      <c r="X3" s="3">
        <v>0.93</v>
      </c>
      <c r="Y3" s="3"/>
      <c r="Z3" s="41">
        <v>0.292</v>
      </c>
      <c r="AA3" s="3"/>
      <c r="AB3" s="26">
        <f t="shared" ref="AB3:AB14" si="10">X3-Z3</f>
        <v>0.638</v>
      </c>
      <c r="AC3" s="27">
        <f t="shared" ref="AC3:AF3" si="1">AC4+($AG3-$AG4)/4</f>
        <v>0.1511912431</v>
      </c>
      <c r="AD3" s="27">
        <f t="shared" si="1"/>
        <v>0.07119124311</v>
      </c>
      <c r="AE3" s="27">
        <f t="shared" si="1"/>
        <v>0.07119124311</v>
      </c>
      <c r="AF3" s="27">
        <f t="shared" si="1"/>
        <v>0.02619124311</v>
      </c>
      <c r="AG3" s="23">
        <f t="shared" ref="AG3:AG8" si="12">AG4*95%</f>
        <v>0.3197649724</v>
      </c>
      <c r="AH3" s="39">
        <f t="shared" ref="AH3:AH14" si="13">AG3+J3+N3-T3</f>
        <v>0.4300088595</v>
      </c>
      <c r="AI3" s="29">
        <f t="shared" ref="AI3:AI14" si="14">W3*AB3</f>
        <v>33268.1435</v>
      </c>
      <c r="AJ3" s="30" t="str">
        <f t="shared" ref="AJ3:AJ14" si="15">IFS(
AI3&lt;=2500,"D-",
AI3&lt;=5000,"D",
AI3&lt;=10000,"D+",
AI3&lt;=12500,"C-",
AI3&lt;=15000,"C",
AI3&lt;=20000,"C+",
AI3&lt;=25000,"B-",
AI3&lt;=30000,"B",
AI3&lt;=35000,"B+",
AI3&lt;=40000,"A-",
AI3&lt;=50000,"A",
AI3&lt;=100000,"A+",
TRUE,"Out of range"
)
</f>
        <v>B+</v>
      </c>
      <c r="AK3" s="30" t="str">
        <f t="shared" ref="AK3:AK14" si="16">CONCAT(ROUND(AH3,2),AJ3)</f>
        <v>0.43B+</v>
      </c>
    </row>
    <row r="4">
      <c r="A4" s="1">
        <v>2020.0</v>
      </c>
      <c r="B4" s="21">
        <f>84.75*1000000000000</f>
        <v>84750000000000</v>
      </c>
      <c r="C4" s="24">
        <f t="shared" ref="C4:C13" si="17">(B4-B3)/B3</f>
        <v>-0.03363740023</v>
      </c>
      <c r="D4" s="22">
        <f>7.89*10^9</f>
        <v>7890000000</v>
      </c>
      <c r="E4" s="24">
        <f t="shared" ref="E4:E13" si="18">(D4-D3)/D3</f>
        <v>0.01024327785</v>
      </c>
      <c r="F4" s="21">
        <v>9.325609E11</v>
      </c>
      <c r="G4" s="24">
        <f t="shared" ref="G4:G13" si="19">(F4-F3)/F3</f>
        <v>0.0039378708</v>
      </c>
      <c r="H4" s="32">
        <v>1.74415E7</v>
      </c>
      <c r="I4" s="24">
        <f t="shared" ref="I4:I13" si="20">(H4-H3)/H3</f>
        <v>0.005570867796</v>
      </c>
      <c r="J4" s="23">
        <f t="shared" si="2"/>
        <v>0.01100366844</v>
      </c>
      <c r="K4" s="21">
        <v>6.620409E11</v>
      </c>
      <c r="L4" s="21">
        <v>7.576267E11</v>
      </c>
      <c r="M4" s="21">
        <f t="shared" si="3"/>
        <v>95585800000</v>
      </c>
      <c r="N4" s="23">
        <f t="shared" si="4"/>
        <v>0.1024981854</v>
      </c>
      <c r="O4" s="31">
        <v>0.534</v>
      </c>
      <c r="P4" s="24">
        <f t="shared" ref="P4:P13" si="21">(O4-O3)/O3</f>
        <v>0.1194968553</v>
      </c>
      <c r="Q4" s="21">
        <f t="shared" si="5"/>
        <v>497987520600</v>
      </c>
      <c r="R4" s="31">
        <v>0.0</v>
      </c>
      <c r="S4" s="21">
        <f t="shared" si="6"/>
        <v>0</v>
      </c>
      <c r="T4" s="23">
        <f t="shared" si="7"/>
        <v>0</v>
      </c>
      <c r="U4" s="31">
        <v>0.012724599999999999</v>
      </c>
      <c r="V4" s="21">
        <f t="shared" si="8"/>
        <v>53467.92994</v>
      </c>
      <c r="W4" s="25">
        <f t="shared" si="9"/>
        <v>52787.57192</v>
      </c>
      <c r="X4" s="3">
        <v>0.94</v>
      </c>
      <c r="Y4" s="31">
        <f t="shared" ref="Y4:Y13" si="22">(X4-X3)/X3</f>
        <v>0.01075268817</v>
      </c>
      <c r="Z4" s="41">
        <v>0.26</v>
      </c>
      <c r="AA4" s="31">
        <f t="shared" ref="AA4:AA13" si="23">(Z4-Z3)/Z4</f>
        <v>-0.1230769231</v>
      </c>
      <c r="AB4" s="26">
        <f t="shared" si="10"/>
        <v>0.68</v>
      </c>
      <c r="AC4" s="27">
        <f t="shared" ref="AC4:AF4" si="11">AC5+($AG4-$AG5)/4</f>
        <v>0.155398677</v>
      </c>
      <c r="AD4" s="27">
        <f t="shared" si="11"/>
        <v>0.07539867695</v>
      </c>
      <c r="AE4" s="27">
        <f t="shared" si="11"/>
        <v>0.07539867695</v>
      </c>
      <c r="AF4" s="27">
        <f t="shared" si="11"/>
        <v>0.03039867695</v>
      </c>
      <c r="AG4" s="23">
        <f t="shared" si="12"/>
        <v>0.3365947078</v>
      </c>
      <c r="AH4" s="39">
        <f t="shared" si="13"/>
        <v>0.4500965616</v>
      </c>
      <c r="AI4" s="29">
        <f t="shared" si="14"/>
        <v>35895.5489</v>
      </c>
      <c r="AJ4" s="30" t="str">
        <f t="shared" si="15"/>
        <v>A-</v>
      </c>
      <c r="AK4" s="30" t="str">
        <f t="shared" si="16"/>
        <v>0.45A-</v>
      </c>
    </row>
    <row r="5">
      <c r="A5" s="1">
        <v>2021.0</v>
      </c>
      <c r="B5" s="21">
        <f>96.14*1000000000000</f>
        <v>96140000000000</v>
      </c>
      <c r="C5" s="24">
        <f t="shared" si="17"/>
        <v>0.1343952802</v>
      </c>
      <c r="D5" s="22">
        <f>7.95*10^9</f>
        <v>7950000000</v>
      </c>
      <c r="E5" s="24">
        <f t="shared" si="18"/>
        <v>0.007604562738</v>
      </c>
      <c r="F5" s="21">
        <v>1.054472E12</v>
      </c>
      <c r="G5" s="24">
        <f t="shared" si="19"/>
        <v>0.1307272265</v>
      </c>
      <c r="H5" s="32">
        <v>1.7533044E7</v>
      </c>
      <c r="I5" s="24">
        <f t="shared" si="20"/>
        <v>0.005248631138</v>
      </c>
      <c r="J5" s="23">
        <f t="shared" si="2"/>
        <v>0.0109680882</v>
      </c>
      <c r="K5" s="21">
        <v>8.088312E11</v>
      </c>
      <c r="L5" s="21">
        <v>9.115912E11</v>
      </c>
      <c r="M5" s="21">
        <f t="shared" si="3"/>
        <v>102760000000</v>
      </c>
      <c r="N5" s="23">
        <f t="shared" si="4"/>
        <v>0.0974516156</v>
      </c>
      <c r="O5" s="31">
        <v>0.505</v>
      </c>
      <c r="P5" s="24">
        <f t="shared" si="21"/>
        <v>-0.0543071161</v>
      </c>
      <c r="Q5" s="21">
        <f t="shared" si="5"/>
        <v>532508360000</v>
      </c>
      <c r="R5" s="31">
        <v>0.0</v>
      </c>
      <c r="S5" s="21">
        <f t="shared" si="6"/>
        <v>0</v>
      </c>
      <c r="T5" s="23">
        <f t="shared" si="7"/>
        <v>0</v>
      </c>
      <c r="U5" s="31">
        <v>0.026757200000000002</v>
      </c>
      <c r="V5" s="21">
        <f t="shared" si="8"/>
        <v>60141.98105</v>
      </c>
      <c r="W5" s="25">
        <f t="shared" si="9"/>
        <v>58532.75003</v>
      </c>
      <c r="X5" s="3">
        <v>0.94</v>
      </c>
      <c r="Y5" s="31">
        <f t="shared" si="22"/>
        <v>0</v>
      </c>
      <c r="Z5" s="41">
        <v>0.257</v>
      </c>
      <c r="AA5" s="31">
        <f t="shared" si="23"/>
        <v>-0.01167315175</v>
      </c>
      <c r="AB5" s="26">
        <f t="shared" si="10"/>
        <v>0.683</v>
      </c>
      <c r="AC5" s="27">
        <f t="shared" ref="AC5:AF5" si="24">AC6+($AG5-$AG6)/4</f>
        <v>0.1598275547</v>
      </c>
      <c r="AD5" s="27">
        <f t="shared" si="24"/>
        <v>0.07982755469</v>
      </c>
      <c r="AE5" s="27">
        <f t="shared" si="24"/>
        <v>0.07982755469</v>
      </c>
      <c r="AF5" s="27">
        <f t="shared" si="24"/>
        <v>0.03482755469</v>
      </c>
      <c r="AG5" s="23">
        <f t="shared" si="12"/>
        <v>0.3543102188</v>
      </c>
      <c r="AH5" s="39">
        <f t="shared" si="13"/>
        <v>0.4627299225</v>
      </c>
      <c r="AI5" s="29">
        <f t="shared" si="14"/>
        <v>39977.86827</v>
      </c>
      <c r="AJ5" s="30" t="str">
        <f t="shared" si="15"/>
        <v>A-</v>
      </c>
      <c r="AK5" s="30" t="str">
        <f t="shared" si="16"/>
        <v>0.46A-</v>
      </c>
    </row>
    <row r="6">
      <c r="A6" s="1">
        <v>2022.0</v>
      </c>
      <c r="B6" s="21">
        <f>101.56*1000000000000</f>
        <v>101560000000000</v>
      </c>
      <c r="C6" s="24">
        <f t="shared" si="17"/>
        <v>0.05637611816</v>
      </c>
      <c r="D6" s="22">
        <f>8.02*10^9</f>
        <v>8020000000</v>
      </c>
      <c r="E6" s="24">
        <f t="shared" si="18"/>
        <v>0.008805031447</v>
      </c>
      <c r="F6" s="21">
        <v>1.046541E12</v>
      </c>
      <c r="G6" s="24">
        <f t="shared" si="19"/>
        <v>-0.00752129976</v>
      </c>
      <c r="H6" s="32">
        <v>1.7700982E7</v>
      </c>
      <c r="I6" s="24">
        <f t="shared" si="20"/>
        <v>0.009578370989</v>
      </c>
      <c r="J6" s="23">
        <f t="shared" si="2"/>
        <v>0.01030465735</v>
      </c>
      <c r="K6" s="21">
        <v>9.174381E11</v>
      </c>
      <c r="L6" s="21">
        <v>1.009322E12</v>
      </c>
      <c r="M6" s="21">
        <f t="shared" si="3"/>
        <v>91883900000</v>
      </c>
      <c r="N6" s="23">
        <f t="shared" si="4"/>
        <v>0.08779770692</v>
      </c>
      <c r="O6" s="31">
        <v>0.484</v>
      </c>
      <c r="P6" s="24">
        <f t="shared" si="21"/>
        <v>-0.04158415842</v>
      </c>
      <c r="Q6" s="21">
        <f t="shared" si="5"/>
        <v>506525844000</v>
      </c>
      <c r="R6" s="31">
        <v>0.0</v>
      </c>
      <c r="S6" s="21">
        <f t="shared" si="6"/>
        <v>0</v>
      </c>
      <c r="T6" s="23">
        <f t="shared" si="7"/>
        <v>0</v>
      </c>
      <c r="U6" s="31">
        <v>0.10001208</v>
      </c>
      <c r="V6" s="21">
        <f t="shared" si="8"/>
        <v>59123.32999</v>
      </c>
      <c r="W6" s="25">
        <f t="shared" si="9"/>
        <v>53210.28278</v>
      </c>
      <c r="X6" s="3">
        <v>0.95</v>
      </c>
      <c r="Y6" s="31">
        <f t="shared" si="22"/>
        <v>0.01063829787</v>
      </c>
      <c r="Z6" s="41">
        <f t="shared" ref="Z6:Z8" si="26">AVERAGE(Z5,$Z$9)</f>
        <v>0.2605</v>
      </c>
      <c r="AA6" s="31">
        <f t="shared" si="23"/>
        <v>0.01343570058</v>
      </c>
      <c r="AB6" s="26">
        <f t="shared" si="10"/>
        <v>0.6895</v>
      </c>
      <c r="AC6" s="27">
        <f t="shared" ref="AC6:AF6" si="25">AC7+($AG6-$AG7)/4</f>
        <v>0.1644895313</v>
      </c>
      <c r="AD6" s="27">
        <f t="shared" si="25"/>
        <v>0.08448953125</v>
      </c>
      <c r="AE6" s="27">
        <f t="shared" si="25"/>
        <v>0.08448953125</v>
      </c>
      <c r="AF6" s="27">
        <f t="shared" si="25"/>
        <v>0.03948953125</v>
      </c>
      <c r="AG6" s="23">
        <f t="shared" si="12"/>
        <v>0.372958125</v>
      </c>
      <c r="AH6" s="39">
        <f t="shared" si="13"/>
        <v>0.4710604893</v>
      </c>
      <c r="AI6" s="29">
        <f t="shared" si="14"/>
        <v>36688.48998</v>
      </c>
      <c r="AJ6" s="30" t="str">
        <f t="shared" si="15"/>
        <v>A-</v>
      </c>
      <c r="AK6" s="30" t="str">
        <f t="shared" si="16"/>
        <v>0.47A-</v>
      </c>
    </row>
    <row r="7">
      <c r="A7" s="1">
        <v>2023.0</v>
      </c>
      <c r="B7" s="21">
        <f>106.8*1000000000000</f>
        <v>106800000000000</v>
      </c>
      <c r="C7" s="24">
        <f t="shared" si="17"/>
        <v>0.05159511619</v>
      </c>
      <c r="D7" s="32">
        <f>8.09*10^9</f>
        <v>8090000000</v>
      </c>
      <c r="E7" s="24">
        <f t="shared" si="18"/>
        <v>0.008728179551</v>
      </c>
      <c r="F7" s="21">
        <v>1.135476E12</v>
      </c>
      <c r="G7" s="24">
        <f t="shared" si="19"/>
        <v>0.08497994823</v>
      </c>
      <c r="H7" s="32">
        <v>1.7877117E7</v>
      </c>
      <c r="I7" s="24">
        <f t="shared" si="20"/>
        <v>0.009950577883</v>
      </c>
      <c r="J7" s="23">
        <f t="shared" si="2"/>
        <v>0.01063179775</v>
      </c>
      <c r="K7" s="21">
        <v>8.804976E11</v>
      </c>
      <c r="L7" s="21">
        <v>9.933831E11</v>
      </c>
      <c r="M7" s="21">
        <f t="shared" si="3"/>
        <v>112885500000</v>
      </c>
      <c r="N7" s="23">
        <f t="shared" si="4"/>
        <v>0.09941689653</v>
      </c>
      <c r="O7" s="31">
        <v>0.458</v>
      </c>
      <c r="P7" s="24">
        <f t="shared" si="21"/>
        <v>-0.05371900826</v>
      </c>
      <c r="Q7" s="21">
        <f t="shared" si="5"/>
        <v>520048008000</v>
      </c>
      <c r="R7" s="31">
        <v>0.035</v>
      </c>
      <c r="S7" s="21">
        <f t="shared" si="6"/>
        <v>18201680280</v>
      </c>
      <c r="T7" s="23">
        <f t="shared" si="7"/>
        <v>0.01603</v>
      </c>
      <c r="U7" s="31">
        <v>0.03838394</v>
      </c>
      <c r="V7" s="21">
        <f t="shared" si="8"/>
        <v>63515.61049</v>
      </c>
      <c r="W7" s="25">
        <f t="shared" si="9"/>
        <v>61077.6311</v>
      </c>
      <c r="X7" s="3">
        <v>0.96</v>
      </c>
      <c r="Y7" s="31">
        <f t="shared" si="22"/>
        <v>0.01052631579</v>
      </c>
      <c r="Z7" s="41">
        <f t="shared" si="26"/>
        <v>0.26225</v>
      </c>
      <c r="AA7" s="31">
        <f t="shared" si="23"/>
        <v>0.006673021926</v>
      </c>
      <c r="AB7" s="26">
        <f t="shared" si="10"/>
        <v>0.69775</v>
      </c>
      <c r="AC7" s="27">
        <f t="shared" ref="AC7:AF7" si="27">AC8+($AG7-$AG8)/4</f>
        <v>0.169396875</v>
      </c>
      <c r="AD7" s="27">
        <f t="shared" si="27"/>
        <v>0.089396875</v>
      </c>
      <c r="AE7" s="27">
        <f t="shared" si="27"/>
        <v>0.089396875</v>
      </c>
      <c r="AF7" s="27">
        <f t="shared" si="27"/>
        <v>0.044396875</v>
      </c>
      <c r="AG7" s="23">
        <f t="shared" si="12"/>
        <v>0.3925875</v>
      </c>
      <c r="AH7" s="39">
        <f t="shared" si="13"/>
        <v>0.4866061943</v>
      </c>
      <c r="AI7" s="29">
        <f t="shared" si="14"/>
        <v>42616.9171</v>
      </c>
      <c r="AJ7" s="30" t="str">
        <f t="shared" si="15"/>
        <v>A</v>
      </c>
      <c r="AK7" s="30" t="str">
        <f t="shared" si="16"/>
        <v>0.49A</v>
      </c>
    </row>
    <row r="8">
      <c r="A8" s="1">
        <v>2024.0</v>
      </c>
      <c r="B8" s="21">
        <f>112.6*1000000000000</f>
        <v>112600000000000</v>
      </c>
      <c r="C8" s="24">
        <f t="shared" si="17"/>
        <v>0.0543071161</v>
      </c>
      <c r="D8" s="32">
        <v>8.161972572E9</v>
      </c>
      <c r="E8" s="24">
        <f t="shared" si="18"/>
        <v>0.008896486032</v>
      </c>
      <c r="F8" s="21">
        <v>1.214928E12</v>
      </c>
      <c r="G8" s="24">
        <f t="shared" si="19"/>
        <v>0.06997241685</v>
      </c>
      <c r="H8" s="32">
        <v>1.7993485E7</v>
      </c>
      <c r="I8" s="24">
        <f t="shared" si="20"/>
        <v>0.006509326979</v>
      </c>
      <c r="J8" s="23">
        <f t="shared" si="2"/>
        <v>0.01078976909</v>
      </c>
      <c r="K8" s="21">
        <v>8.674619E11</v>
      </c>
      <c r="L8" s="21">
        <v>1.001469E12</v>
      </c>
      <c r="M8" s="21">
        <f t="shared" si="3"/>
        <v>134007100000</v>
      </c>
      <c r="N8" s="23">
        <f t="shared" si="4"/>
        <v>0.1103004458</v>
      </c>
      <c r="O8" s="31">
        <v>0.437</v>
      </c>
      <c r="P8" s="24">
        <f t="shared" si="21"/>
        <v>-0.04585152838</v>
      </c>
      <c r="Q8" s="21">
        <f t="shared" si="5"/>
        <v>530923536000</v>
      </c>
      <c r="R8" s="31">
        <v>0.045</v>
      </c>
      <c r="S8" s="21">
        <f t="shared" si="6"/>
        <v>23891559120</v>
      </c>
      <c r="T8" s="23">
        <f t="shared" si="7"/>
        <v>0.019665</v>
      </c>
      <c r="U8" s="31">
        <v>0.03347543</v>
      </c>
      <c r="V8" s="21">
        <f t="shared" si="8"/>
        <v>67520.43865</v>
      </c>
      <c r="W8" s="25">
        <f t="shared" si="9"/>
        <v>65260.16293</v>
      </c>
      <c r="X8" s="3">
        <v>0.96</v>
      </c>
      <c r="Y8" s="31">
        <f t="shared" si="22"/>
        <v>0</v>
      </c>
      <c r="Z8" s="41">
        <f t="shared" si="26"/>
        <v>0.263125</v>
      </c>
      <c r="AA8" s="31">
        <f t="shared" si="23"/>
        <v>0.003325415677</v>
      </c>
      <c r="AB8" s="26">
        <f t="shared" si="10"/>
        <v>0.696875</v>
      </c>
      <c r="AC8" s="27">
        <f t="shared" ref="AC8:AF8" si="28">AC9+($AG8-$AG9)/4</f>
        <v>0.1745625</v>
      </c>
      <c r="AD8" s="27">
        <f t="shared" si="28"/>
        <v>0.0945625</v>
      </c>
      <c r="AE8" s="27">
        <f t="shared" si="28"/>
        <v>0.0945625</v>
      </c>
      <c r="AF8" s="27">
        <f t="shared" si="28"/>
        <v>0.0495625</v>
      </c>
      <c r="AG8" s="23">
        <f t="shared" si="12"/>
        <v>0.41325</v>
      </c>
      <c r="AH8" s="39">
        <f t="shared" si="13"/>
        <v>0.5146752149</v>
      </c>
      <c r="AI8" s="29">
        <f t="shared" si="14"/>
        <v>45478.17604</v>
      </c>
      <c r="AJ8" s="30" t="str">
        <f t="shared" si="15"/>
        <v>A</v>
      </c>
      <c r="AK8" s="30" t="str">
        <f t="shared" si="16"/>
        <v>0.51A</v>
      </c>
    </row>
    <row r="9">
      <c r="A9" s="1">
        <v>2025.0</v>
      </c>
      <c r="B9" s="33">
        <v>1.13795678E14</v>
      </c>
      <c r="C9" s="24">
        <f t="shared" si="17"/>
        <v>0.01061880995</v>
      </c>
      <c r="D9" s="32">
        <v>8.23161307E9</v>
      </c>
      <c r="E9" s="24">
        <f t="shared" si="18"/>
        <v>0.008532312181</v>
      </c>
      <c r="F9" s="33">
        <v>1.272E12</v>
      </c>
      <c r="G9" s="24">
        <f t="shared" si="19"/>
        <v>0.04697562325</v>
      </c>
      <c r="H9" s="32">
        <v>1.84E7</v>
      </c>
      <c r="I9" s="24">
        <f t="shared" si="20"/>
        <v>0.02259234384</v>
      </c>
      <c r="J9" s="23">
        <f t="shared" si="2"/>
        <v>0.01117792892</v>
      </c>
      <c r="K9" s="33">
        <f>1357000000000/2</f>
        <v>678500000000</v>
      </c>
      <c r="L9" s="21">
        <f t="shared" ref="L9:L14" si="29">K9+M9</f>
        <v>765400000000</v>
      </c>
      <c r="M9" s="33">
        <v>8.69E10</v>
      </c>
      <c r="N9" s="23">
        <f t="shared" si="4"/>
        <v>0.06831761006</v>
      </c>
      <c r="O9" s="24">
        <f>Q9/F9</f>
        <v>0.433</v>
      </c>
      <c r="P9" s="24">
        <f t="shared" si="21"/>
        <v>-0.009153318078</v>
      </c>
      <c r="Q9" s="33">
        <v>5.50776E11</v>
      </c>
      <c r="R9" s="31">
        <v>0.024</v>
      </c>
      <c r="S9" s="21">
        <f t="shared" si="6"/>
        <v>13218624000</v>
      </c>
      <c r="T9" s="23">
        <f t="shared" si="7"/>
        <v>0.010392</v>
      </c>
      <c r="U9" s="31">
        <v>0.031</v>
      </c>
      <c r="V9" s="21">
        <f t="shared" si="8"/>
        <v>69130.43478</v>
      </c>
      <c r="W9" s="25">
        <f t="shared" si="9"/>
        <v>66987.3913</v>
      </c>
      <c r="X9" s="43">
        <v>0.955</v>
      </c>
      <c r="Y9" s="31">
        <f t="shared" si="22"/>
        <v>-0.005208333333</v>
      </c>
      <c r="Z9" s="41">
        <v>0.264</v>
      </c>
      <c r="AA9" s="31">
        <f t="shared" si="23"/>
        <v>0.003314393939</v>
      </c>
      <c r="AB9" s="26">
        <f t="shared" si="10"/>
        <v>0.691</v>
      </c>
      <c r="AC9" s="31">
        <v>0.18</v>
      </c>
      <c r="AD9" s="31">
        <v>0.1</v>
      </c>
      <c r="AE9" s="31">
        <v>0.1</v>
      </c>
      <c r="AF9" s="31">
        <v>0.055</v>
      </c>
      <c r="AG9" s="23">
        <f>SUM(AC9:AF9)</f>
        <v>0.435</v>
      </c>
      <c r="AH9" s="39">
        <f t="shared" si="13"/>
        <v>0.504103539</v>
      </c>
      <c r="AI9" s="29">
        <f t="shared" si="14"/>
        <v>46288.28739</v>
      </c>
      <c r="AJ9" s="30" t="str">
        <f t="shared" si="15"/>
        <v>A</v>
      </c>
      <c r="AK9" s="30" t="str">
        <f t="shared" si="16"/>
        <v>0.5A</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1332303759302</v>
      </c>
      <c r="G10" s="24">
        <f t="shared" si="19"/>
        <v>0.0474086158</v>
      </c>
      <c r="H10" s="22">
        <f>AVERAGE(FORECAST(A10,H3:H9,$A$3:$A$9),H9*(AVERAGE(I4:I9)+1))</f>
        <v>18498615.63</v>
      </c>
      <c r="I10" s="24">
        <f t="shared" si="20"/>
        <v>0.005359545341</v>
      </c>
      <c r="J10" s="35">
        <f t="shared" si="2"/>
        <v>0.01109663066</v>
      </c>
      <c r="K10" s="36">
        <f>FORECAST(A10,K3:K9,A3:A9)</f>
        <v>847544957143</v>
      </c>
      <c r="L10" s="36">
        <f t="shared" si="29"/>
        <v>959910128571</v>
      </c>
      <c r="M10" s="21">
        <f>FORECAST(A10,M3:M9,$A$3:$A$9)</f>
        <v>112365171429</v>
      </c>
      <c r="N10" s="24">
        <f t="shared" si="4"/>
        <v>0.08433900351</v>
      </c>
      <c r="O10" s="24">
        <f>AVERAGE(FORECAST(A10,O3:O9,$A$3:$A$9),O9*(AVERAGE(P4:P9)+1))</f>
        <v>0.4245000775</v>
      </c>
      <c r="P10" s="24">
        <f t="shared" si="21"/>
        <v>-0.01963030595</v>
      </c>
      <c r="Q10" s="21">
        <f t="shared" ref="Q10:Q14" si="31">O10*F10</f>
        <v>565563049106</v>
      </c>
      <c r="R10" s="24">
        <f>FORECAST(A10,R3:R9,$A$3:$A$9)</f>
        <v>0.043</v>
      </c>
      <c r="S10" s="21">
        <f t="shared" si="6"/>
        <v>24319211112</v>
      </c>
      <c r="T10" s="24">
        <f t="shared" si="7"/>
        <v>0.01825350333</v>
      </c>
      <c r="U10" s="24">
        <f>FORECAST(A10,U3:U9,$A$3:$A$9)</f>
        <v>0.04797252429</v>
      </c>
      <c r="V10" s="21">
        <f t="shared" si="8"/>
        <v>72021.80886</v>
      </c>
      <c r="W10" s="21">
        <f t="shared" si="9"/>
        <v>68566.74088</v>
      </c>
      <c r="X10" s="37">
        <f>AVERAGE(FORECAST(A10,X3:X9,$A$3:$A$9),X9*(AVERAGE(Y4:Y9)+1))</f>
        <v>0.9631970173</v>
      </c>
      <c r="Y10" s="31">
        <f t="shared" si="22"/>
        <v>0.008583264204</v>
      </c>
      <c r="Z10" s="38">
        <f>AVERAGE(FORECAST(A10,Z3:Z9,$A$3:$A$9),Z9*(AVERAGE(AA4:AA9)+1))</f>
        <v>0.2572221803</v>
      </c>
      <c r="AA10" s="31">
        <f t="shared" si="23"/>
        <v>-0.0263500591</v>
      </c>
      <c r="AB10" s="37">
        <f t="shared" si="10"/>
        <v>0.705974837</v>
      </c>
      <c r="AC10" s="27">
        <f t="shared" ref="AC10:AF10" si="30">AC9+($AG10-$AG9)/4</f>
        <v>0.1854375</v>
      </c>
      <c r="AD10" s="27">
        <f t="shared" si="30"/>
        <v>0.1054375</v>
      </c>
      <c r="AE10" s="27">
        <f t="shared" si="30"/>
        <v>0.1054375</v>
      </c>
      <c r="AF10" s="27">
        <f t="shared" si="30"/>
        <v>0.0604375</v>
      </c>
      <c r="AG10" s="24">
        <f t="shared" ref="AG10:AG14" si="33">AG9*1.05</f>
        <v>0.45675</v>
      </c>
      <c r="AH10" s="38">
        <f t="shared" si="13"/>
        <v>0.5339321308</v>
      </c>
      <c r="AI10" s="21">
        <f t="shared" si="14"/>
        <v>48406.39371</v>
      </c>
      <c r="AJ10" s="30" t="str">
        <f t="shared" si="15"/>
        <v>A</v>
      </c>
      <c r="AK10" s="30" t="str">
        <f t="shared" si="16"/>
        <v>0.53A</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1395677719795</v>
      </c>
      <c r="G11" s="24">
        <f t="shared" si="19"/>
        <v>0.04756720084</v>
      </c>
      <c r="H11" s="22">
        <f>AVERAGE(FORECAST($A11,H3:H10,$A3:$A10),H10*(AVERAGE(I4:I10)+1))</f>
        <v>18645708.57</v>
      </c>
      <c r="I11" s="24">
        <f t="shared" si="20"/>
        <v>0.007951564492</v>
      </c>
      <c r="J11" s="35">
        <f t="shared" si="2"/>
        <v>0.01110010502</v>
      </c>
      <c r="K11" s="36">
        <f>FORECAST(A11,K3:K10,A3:A10)</f>
        <v>862475789286</v>
      </c>
      <c r="L11" s="21">
        <f t="shared" si="29"/>
        <v>977339775000</v>
      </c>
      <c r="M11" s="21">
        <f>FORECAST($A11,M3:M10,$A3:$A10)</f>
        <v>114863985714</v>
      </c>
      <c r="N11" s="24">
        <f t="shared" si="4"/>
        <v>0.08229979177</v>
      </c>
      <c r="O11" s="24">
        <f>AVERAGE(FORECAST($A11,O3:O10,$A3:$A10),O10*(AVERAGE(P4:P10)+1))</f>
        <v>0.414073931</v>
      </c>
      <c r="P11" s="24">
        <f t="shared" si="21"/>
        <v>-0.02456100033</v>
      </c>
      <c r="Q11" s="21">
        <f t="shared" si="31"/>
        <v>577913759815</v>
      </c>
      <c r="R11" s="24">
        <f>FORECAST($A11,R3:R10,$A3:$A10)</f>
        <v>0.05003571429</v>
      </c>
      <c r="S11" s="21">
        <f t="shared" si="6"/>
        <v>28916327768</v>
      </c>
      <c r="T11" s="24">
        <f t="shared" si="7"/>
        <v>0.0207184849</v>
      </c>
      <c r="U11" s="24">
        <f>FORECAST($A11,U3:U10,$A3:$A10)</f>
        <v>0.05036957536</v>
      </c>
      <c r="V11" s="21">
        <f t="shared" si="8"/>
        <v>74852.4903</v>
      </c>
      <c r="W11" s="21">
        <f t="shared" si="9"/>
        <v>71082.20215</v>
      </c>
      <c r="X11" s="37">
        <f>AVERAGE(FORECAST($A11,X3:X10,$A3:$A10),X10*(AVERAGE(Y4:Y10)+1))</f>
        <v>0.9690222896</v>
      </c>
      <c r="Y11" s="31">
        <f t="shared" si="22"/>
        <v>0.006047851301</v>
      </c>
      <c r="Z11" s="38">
        <f>AVERAGE(FORECAST($A11,Z3:Z10,$A3:$A10),Z10*(AVERAGE(AA4:AA10)+1))</f>
        <v>0.2529526558</v>
      </c>
      <c r="AA11" s="31">
        <f t="shared" si="23"/>
        <v>-0.01687874949</v>
      </c>
      <c r="AB11" s="37">
        <f t="shared" si="10"/>
        <v>0.7160696338</v>
      </c>
      <c r="AC11" s="27">
        <f t="shared" ref="AC11:AF11" si="32">AC10+($AG11-$AG10)/4</f>
        <v>0.191146875</v>
      </c>
      <c r="AD11" s="27">
        <f t="shared" si="32"/>
        <v>0.111146875</v>
      </c>
      <c r="AE11" s="27">
        <f t="shared" si="32"/>
        <v>0.111146875</v>
      </c>
      <c r="AF11" s="27">
        <f t="shared" si="32"/>
        <v>0.066146875</v>
      </c>
      <c r="AG11" s="24">
        <f t="shared" si="33"/>
        <v>0.4795875</v>
      </c>
      <c r="AH11" s="38">
        <f t="shared" si="13"/>
        <v>0.5522689119</v>
      </c>
      <c r="AI11" s="21">
        <f t="shared" si="14"/>
        <v>50899.80646</v>
      </c>
      <c r="AJ11" s="30" t="str">
        <f t="shared" si="15"/>
        <v>A+</v>
      </c>
      <c r="AK11" s="30" t="str">
        <f t="shared" si="16"/>
        <v>0.55A+</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1460672373050</v>
      </c>
      <c r="G12" s="24">
        <f t="shared" si="19"/>
        <v>0.04656852534</v>
      </c>
      <c r="H12" s="22">
        <f>AVERAGE(FORECAST($A12,H3:H11,$A3:$A11),H11*(AVERAGE(I4:I11)+1))</f>
        <v>18809655.48</v>
      </c>
      <c r="I12" s="24">
        <f t="shared" si="20"/>
        <v>0.008792742507</v>
      </c>
      <c r="J12" s="35">
        <f t="shared" si="2"/>
        <v>0.01112999726</v>
      </c>
      <c r="K12" s="36">
        <f>FORECAST(A12,K3:K11,A3:A11)</f>
        <v>877406621429</v>
      </c>
      <c r="L12" s="21">
        <f t="shared" si="29"/>
        <v>994769421429</v>
      </c>
      <c r="M12" s="21">
        <f t="shared" ref="M12:M14" si="35">FORECAST($A12,M3:M11,$A3:$A11)</f>
        <v>117362800000</v>
      </c>
      <c r="N12" s="24">
        <f t="shared" si="4"/>
        <v>0.08034847661</v>
      </c>
      <c r="O12" s="24">
        <f>AVERAGE(FORECAST($A12,O3:O11,$A3:$A11),O11*(AVERAGE(P4:P11)+1))</f>
        <v>0.4030333146</v>
      </c>
      <c r="P12" s="24">
        <f t="shared" si="21"/>
        <v>-0.02666339404</v>
      </c>
      <c r="Q12" s="21">
        <f t="shared" si="31"/>
        <v>588699628048</v>
      </c>
      <c r="R12" s="24">
        <f>FORECAST($A12,R3:R11,$A3:$A11)</f>
        <v>0.05707142857</v>
      </c>
      <c r="S12" s="21">
        <f t="shared" si="6"/>
        <v>33597928772</v>
      </c>
      <c r="T12" s="24">
        <f t="shared" si="7"/>
        <v>0.02300168703</v>
      </c>
      <c r="U12" s="24">
        <f>FORECAST($A12,U3:U11,$A3:$A11)</f>
        <v>0.05276662643</v>
      </c>
      <c r="V12" s="21">
        <f t="shared" si="8"/>
        <v>77655.45596</v>
      </c>
      <c r="W12" s="21">
        <f t="shared" si="9"/>
        <v>73557.83953</v>
      </c>
      <c r="X12" s="37">
        <f>AVERAGE(FORECAST($A12,X3:X11,$A3:$A11),X11*(AVERAGE(Y4:Y11)+1))</f>
        <v>0.9740414982</v>
      </c>
      <c r="Y12" s="31">
        <f t="shared" si="22"/>
        <v>0.00517966263</v>
      </c>
      <c r="Z12" s="37">
        <f>AVERAGE(FORECAST($A12,Z3:Z11,$A3:$A11),Z11*(AVERAGE(AA4:AA11)+1))</f>
        <v>0.2495369154</v>
      </c>
      <c r="AA12" s="31">
        <f t="shared" si="23"/>
        <v>-0.01368831693</v>
      </c>
      <c r="AB12" s="37">
        <f t="shared" si="10"/>
        <v>0.7245045827</v>
      </c>
      <c r="AC12" s="27">
        <f t="shared" ref="AC12:AF12" si="34">AC11+($AG12-$AG11)/4</f>
        <v>0.1971417188</v>
      </c>
      <c r="AD12" s="27">
        <f t="shared" si="34"/>
        <v>0.1171417188</v>
      </c>
      <c r="AE12" s="27">
        <f t="shared" si="34"/>
        <v>0.1171417188</v>
      </c>
      <c r="AF12" s="27">
        <f t="shared" si="34"/>
        <v>0.07214171875</v>
      </c>
      <c r="AG12" s="24">
        <f t="shared" si="33"/>
        <v>0.503566875</v>
      </c>
      <c r="AH12" s="38">
        <f t="shared" si="13"/>
        <v>0.5720436618</v>
      </c>
      <c r="AI12" s="21">
        <f t="shared" si="14"/>
        <v>53292.99183</v>
      </c>
      <c r="AJ12" s="30" t="str">
        <f t="shared" si="15"/>
        <v>A+</v>
      </c>
      <c r="AK12" s="30" t="str">
        <f t="shared" si="16"/>
        <v>0.57A+</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1526748198800</v>
      </c>
      <c r="G13" s="24">
        <f t="shared" si="19"/>
        <v>0.04523658212</v>
      </c>
      <c r="H13" s="22">
        <f>AVERAGE(FORECAST($A13,H3:H12,$A3:$A12),H12*(AVERAGE(I4:I12)+1))</f>
        <v>18979862.06</v>
      </c>
      <c r="I13" s="24">
        <f t="shared" si="20"/>
        <v>0.009048893704</v>
      </c>
      <c r="J13" s="35">
        <f t="shared" si="2"/>
        <v>0.01116758472</v>
      </c>
      <c r="K13" s="36">
        <f>FORECAST(A13,K3:K12,A3:A12)</f>
        <v>892337453571</v>
      </c>
      <c r="L13" s="21">
        <f t="shared" si="29"/>
        <v>1011494343254</v>
      </c>
      <c r="M13" s="21">
        <f t="shared" si="35"/>
        <v>119156889683</v>
      </c>
      <c r="N13" s="24">
        <f t="shared" si="4"/>
        <v>0.07804619634</v>
      </c>
      <c r="O13" s="24">
        <f>AVERAGE(FORECAST($A13,O3:O12,$A3:$A12),O12*(AVERAGE(P4:P12)+1))</f>
        <v>0.3918099688</v>
      </c>
      <c r="P13" s="24">
        <f t="shared" si="21"/>
        <v>-0.0278471913</v>
      </c>
      <c r="Q13" s="21">
        <f t="shared" si="31"/>
        <v>598195164112</v>
      </c>
      <c r="R13" s="24">
        <f>FORECAST($A13,R3:R12,$A3:$A12)</f>
        <v>0.06410714286</v>
      </c>
      <c r="S13" s="21">
        <f t="shared" si="6"/>
        <v>38348582842</v>
      </c>
      <c r="T13" s="24">
        <f t="shared" si="7"/>
        <v>0.02511781764</v>
      </c>
      <c r="U13" s="24">
        <f>FORECAST($A13,U3:U12,$A3:$A12)</f>
        <v>0.0551636775</v>
      </c>
      <c r="V13" s="21">
        <f t="shared" si="8"/>
        <v>80440.4265</v>
      </c>
      <c r="W13" s="21">
        <f t="shared" si="9"/>
        <v>76003.03676</v>
      </c>
      <c r="X13" s="37">
        <f>AVERAGE(FORECAST($A13,X3:X12,$A3:$A12),X12*(AVERAGE(Y4:Y12)+1))</f>
        <v>0.9787763751</v>
      </c>
      <c r="Y13" s="31">
        <f t="shared" si="22"/>
        <v>0.004861062795</v>
      </c>
      <c r="Z13" s="37">
        <f>AVERAGE(FORECAST($A13,Z3:Z12,$A3:$A12),Z12*(AVERAGE(AA4:AA12)+1))</f>
        <v>0.2464279466</v>
      </c>
      <c r="AA13" s="31">
        <f t="shared" si="23"/>
        <v>-0.01261613737</v>
      </c>
      <c r="AB13" s="37">
        <f t="shared" si="10"/>
        <v>0.7323484285</v>
      </c>
      <c r="AC13" s="27">
        <f t="shared" ref="AC13:AF13" si="36">AC12+($AG13-$AG12)/4</f>
        <v>0.2034363047</v>
      </c>
      <c r="AD13" s="27">
        <f t="shared" si="36"/>
        <v>0.1234363047</v>
      </c>
      <c r="AE13" s="27">
        <f t="shared" si="36"/>
        <v>0.1234363047</v>
      </c>
      <c r="AF13" s="27">
        <f t="shared" si="36"/>
        <v>0.07843630469</v>
      </c>
      <c r="AG13" s="24">
        <f t="shared" si="33"/>
        <v>0.5287452188</v>
      </c>
      <c r="AH13" s="38">
        <f t="shared" si="13"/>
        <v>0.5928411822</v>
      </c>
      <c r="AI13" s="21">
        <f t="shared" si="14"/>
        <v>55660.70453</v>
      </c>
      <c r="AJ13" s="30" t="str">
        <f t="shared" si="15"/>
        <v>A+</v>
      </c>
      <c r="AK13" s="30" t="str">
        <f t="shared" si="16"/>
        <v>0.59A+</v>
      </c>
    </row>
    <row r="14">
      <c r="A14" s="34">
        <v>2030.0</v>
      </c>
      <c r="B14" s="21">
        <f>AVERAGE(FORECAST($A14,B5:B13,$A5:$A13),B13*(AVERAGE(C6:C13)+1))</f>
        <v>141834754671550</v>
      </c>
      <c r="C14" s="24"/>
      <c r="D14" s="22">
        <f>AVERAGE(FORECAST($A14,D5:D13,$A5:$A13),D13*(AVERAGE(E6:E13)+1))</f>
        <v>8586617399</v>
      </c>
      <c r="E14" s="24"/>
      <c r="F14" s="21">
        <f>AVERAGE(FORECAST($A14,F5:F13,$A5:$A13),F13*(AVERAGE(G6:G13)+1))</f>
        <v>1592290895208</v>
      </c>
      <c r="H14" s="22">
        <f>AVERAGE(FORECAST($A14,H5:H13,$A5:$A13),H13*(AVERAGE(I6:I13)+1))</f>
        <v>19184860.84</v>
      </c>
      <c r="J14" s="35">
        <f t="shared" si="2"/>
        <v>0.0112263803</v>
      </c>
      <c r="K14" s="36">
        <f>FORECAST(A14,K3:K13,A3:A13)</f>
        <v>907268285714</v>
      </c>
      <c r="L14" s="21">
        <f t="shared" si="29"/>
        <v>1027872710494</v>
      </c>
      <c r="M14" s="21">
        <f t="shared" si="35"/>
        <v>120604424780</v>
      </c>
      <c r="N14" s="24">
        <f t="shared" si="4"/>
        <v>0.07574270828</v>
      </c>
      <c r="O14" s="24">
        <f>AVERAGE(FORECAST($A14,O3:O13,$A3:$A13),O13*(AVERAGE(P4:P13)+1))</f>
        <v>0.3805520522</v>
      </c>
      <c r="Q14" s="21">
        <f t="shared" si="31"/>
        <v>605949567843</v>
      </c>
      <c r="R14" s="24">
        <f>FORECAST($A14,R3:R13,$A3:$A13)</f>
        <v>0.07114285714</v>
      </c>
      <c r="S14" s="21">
        <f t="shared" si="6"/>
        <v>43108983541</v>
      </c>
      <c r="T14" s="24">
        <f t="shared" si="7"/>
        <v>0.02707356028</v>
      </c>
      <c r="U14" s="24">
        <f>FORECAST($A14,U3:U13,$A3:$A13)</f>
        <v>0.05756072857</v>
      </c>
      <c r="V14" s="21">
        <f t="shared" si="8"/>
        <v>82997.26065</v>
      </c>
      <c r="W14" s="21">
        <f t="shared" si="9"/>
        <v>78219.87785</v>
      </c>
      <c r="X14" s="37">
        <f>AVERAGE(FORECAST($A14,X3:X13,$A3:$A13),X13*(AVERAGE(Y4:Y13)+1))</f>
        <v>0.9834091784</v>
      </c>
      <c r="Z14" s="37">
        <f>AVERAGE(FORECAST($A14,Z3:Z13,$A3:$A13),Z13*(AVERAGE(AA4:AA13)+1))</f>
        <v>0.2434364297</v>
      </c>
      <c r="AB14" s="37">
        <f t="shared" si="10"/>
        <v>0.7399727486</v>
      </c>
      <c r="AC14" s="27">
        <f t="shared" ref="AC14:AF14" si="37">AC13+($AG14-$AG13)/4</f>
        <v>0.2100456199</v>
      </c>
      <c r="AD14" s="27">
        <f t="shared" si="37"/>
        <v>0.1300456199</v>
      </c>
      <c r="AE14" s="27">
        <f t="shared" si="37"/>
        <v>0.1300456199</v>
      </c>
      <c r="AF14" s="27">
        <f t="shared" si="37"/>
        <v>0.08504561992</v>
      </c>
      <c r="AG14" s="24">
        <f t="shared" si="33"/>
        <v>0.5551824797</v>
      </c>
      <c r="AH14" s="38">
        <f t="shared" si="13"/>
        <v>0.615078008</v>
      </c>
      <c r="AI14" s="21">
        <f t="shared" si="14"/>
        <v>57880.57801</v>
      </c>
      <c r="AJ14" s="30" t="str">
        <f t="shared" si="15"/>
        <v>A+</v>
      </c>
      <c r="AK14" s="30" t="str">
        <f t="shared" si="16"/>
        <v>0.62A+</v>
      </c>
    </row>
    <row r="16">
      <c r="C16" s="45"/>
      <c r="D16" s="45"/>
      <c r="E16" s="45"/>
      <c r="F16" s="45"/>
      <c r="G16" s="45"/>
      <c r="H16" s="45"/>
      <c r="I16" s="45"/>
      <c r="J16" s="45"/>
      <c r="K16" s="45"/>
      <c r="L16" s="45"/>
      <c r="M16" s="45"/>
    </row>
    <row r="17">
      <c r="C17" s="45"/>
      <c r="I17" s="46"/>
      <c r="J17" s="46"/>
      <c r="K17" s="46"/>
    </row>
    <row r="18">
      <c r="B18" s="45"/>
      <c r="C18" s="45"/>
      <c r="D18" s="45"/>
      <c r="E18" s="45"/>
      <c r="F18" s="45"/>
      <c r="G18" s="45"/>
      <c r="H18" s="45"/>
      <c r="I18" s="47"/>
      <c r="J18" s="47"/>
      <c r="K18" s="46"/>
    </row>
    <row r="19">
      <c r="B19" s="45"/>
      <c r="F19" s="46"/>
      <c r="G19" s="46"/>
      <c r="H19" s="46"/>
      <c r="I19" s="46"/>
      <c r="J19" s="46"/>
      <c r="K19" s="46"/>
    </row>
    <row r="20">
      <c r="B20" s="45"/>
      <c r="F20" s="46"/>
      <c r="G20" s="46"/>
      <c r="H20" s="46"/>
      <c r="I20" s="46"/>
      <c r="J20" s="46"/>
      <c r="K20" s="46"/>
    </row>
    <row r="21">
      <c r="B21" s="45"/>
      <c r="F21" s="46"/>
      <c r="G21" s="46"/>
      <c r="H21" s="46"/>
      <c r="I21" s="46"/>
      <c r="J21" s="46"/>
      <c r="K21" s="46"/>
    </row>
    <row r="22">
      <c r="B22" s="45"/>
      <c r="F22" s="46"/>
      <c r="G22" s="46"/>
      <c r="H22" s="46"/>
      <c r="I22" s="46"/>
      <c r="J22" s="46"/>
      <c r="K22" s="46"/>
    </row>
    <row r="23">
      <c r="B23" s="45"/>
      <c r="F23" s="46"/>
      <c r="G23" s="46"/>
      <c r="H23" s="46"/>
    </row>
    <row r="24">
      <c r="B24" s="45"/>
      <c r="F24" s="46"/>
      <c r="G24" s="46"/>
      <c r="H24" s="46"/>
    </row>
  </sheetData>
  <mergeCells count="1">
    <mergeCell ref="B1:AK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18.38"/>
    <col customWidth="1" min="16" max="16" width="18.5"/>
    <col customWidth="1" min="17" max="17" width="16.75"/>
    <col customWidth="1" min="19" max="19" width="14.38"/>
    <col customWidth="1" min="20" max="20" width="20.5"/>
    <col customWidth="1" min="35" max="35" width="19.88"/>
    <col customWidth="1" min="36" max="36" width="16.88"/>
  </cols>
  <sheetData>
    <row r="1">
      <c r="A1" s="1" t="s">
        <v>88</v>
      </c>
      <c r="B1" s="18" t="s">
        <v>120</v>
      </c>
      <c r="AL1" s="18"/>
      <c r="AM1" s="18"/>
      <c r="AN1" s="18"/>
      <c r="AO1" s="18"/>
      <c r="AP1" s="18"/>
      <c r="AQ1" s="18"/>
    </row>
    <row r="2">
      <c r="A2" s="1" t="s">
        <v>90</v>
      </c>
      <c r="B2" s="1" t="s">
        <v>20</v>
      </c>
      <c r="C2" s="1" t="s">
        <v>91</v>
      </c>
      <c r="D2" s="1" t="s">
        <v>92</v>
      </c>
      <c r="E2" s="1" t="s">
        <v>93</v>
      </c>
      <c r="F2" s="1" t="s">
        <v>19</v>
      </c>
      <c r="G2" s="1" t="s">
        <v>94</v>
      </c>
      <c r="H2" s="1" t="s">
        <v>95</v>
      </c>
      <c r="I2" s="1" t="s">
        <v>96</v>
      </c>
      <c r="J2" s="19" t="s">
        <v>97</v>
      </c>
      <c r="K2" s="1" t="s">
        <v>98</v>
      </c>
      <c r="L2" s="1" t="s">
        <v>99</v>
      </c>
      <c r="M2" s="1" t="s">
        <v>100</v>
      </c>
      <c r="N2" s="19" t="s">
        <v>102</v>
      </c>
      <c r="O2" s="1" t="s">
        <v>103</v>
      </c>
      <c r="P2" s="1" t="s">
        <v>104</v>
      </c>
      <c r="Q2" s="1" t="s">
        <v>105</v>
      </c>
      <c r="R2" s="1" t="s">
        <v>106</v>
      </c>
      <c r="S2" s="1" t="s">
        <v>107</v>
      </c>
      <c r="T2" s="19" t="s">
        <v>108</v>
      </c>
      <c r="U2" s="1" t="s">
        <v>25</v>
      </c>
      <c r="V2" s="1" t="s">
        <v>109</v>
      </c>
      <c r="W2" s="19" t="s">
        <v>5</v>
      </c>
      <c r="X2" s="1" t="s">
        <v>29</v>
      </c>
      <c r="Y2" s="1" t="s">
        <v>110</v>
      </c>
      <c r="Z2" s="1" t="s">
        <v>30</v>
      </c>
      <c r="AA2" s="1" t="s">
        <v>111</v>
      </c>
      <c r="AB2" s="19" t="s">
        <v>9</v>
      </c>
      <c r="AC2" s="1" t="s">
        <v>112</v>
      </c>
      <c r="AD2" s="1" t="s">
        <v>113</v>
      </c>
      <c r="AE2" s="1" t="s">
        <v>114</v>
      </c>
      <c r="AF2" s="1" t="s">
        <v>115</v>
      </c>
      <c r="AG2" s="19" t="s">
        <v>116</v>
      </c>
      <c r="AH2" s="20" t="s">
        <v>117</v>
      </c>
      <c r="AI2" s="20" t="s">
        <v>2</v>
      </c>
      <c r="AJ2" s="1" t="s">
        <v>118</v>
      </c>
      <c r="AK2" s="1" t="s">
        <v>119</v>
      </c>
      <c r="AL2" s="1"/>
      <c r="AM2" s="1"/>
      <c r="AN2" s="1"/>
      <c r="AO2" s="1"/>
      <c r="AP2" s="1"/>
      <c r="AQ2" s="1"/>
    </row>
    <row r="3">
      <c r="A3" s="1">
        <v>2019.0</v>
      </c>
      <c r="B3" s="21">
        <f>87.7*1000000000000</f>
        <v>87700000000000</v>
      </c>
      <c r="C3" s="21"/>
      <c r="D3" s="22">
        <f>7.81*10^9</f>
        <v>7810000000</v>
      </c>
      <c r="E3" s="22"/>
      <c r="F3" s="21">
        <v>7.213691E11</v>
      </c>
      <c r="G3" s="21"/>
      <c r="H3" s="32">
        <v>8575280.0</v>
      </c>
      <c r="I3" s="22"/>
      <c r="J3" s="23">
        <f t="shared" ref="J3:J14" si="2">F3/B3</f>
        <v>0.008225417332</v>
      </c>
      <c r="K3" s="21">
        <v>4.123506E11</v>
      </c>
      <c r="L3" s="21">
        <v>4.830677E11</v>
      </c>
      <c r="M3" s="21">
        <f t="shared" ref="M3:M8" si="3">L3-K3</f>
        <v>70717100000</v>
      </c>
      <c r="N3" s="23">
        <f t="shared" ref="N3:N14" si="4">M3/F3</f>
        <v>0.09803178428</v>
      </c>
      <c r="O3" s="31">
        <v>0.1895426</v>
      </c>
      <c r="P3" s="24"/>
      <c r="Q3" s="21">
        <f t="shared" ref="Q3:Q8" si="5">O3*F3</f>
        <v>136730174774</v>
      </c>
      <c r="R3" s="31">
        <v>0.02739665</v>
      </c>
      <c r="S3" s="21">
        <f t="shared" ref="S3:S14" si="6">Q3*R3</f>
        <v>3745948743</v>
      </c>
      <c r="T3" s="23">
        <f t="shared" ref="T3:T14" si="7">S3/F3</f>
        <v>0.005192832272</v>
      </c>
      <c r="U3" s="31">
        <f t="shared" ref="U3:U8" si="8">H18/100</f>
        <v>0</v>
      </c>
      <c r="V3" s="21">
        <f t="shared" ref="V3:V14" si="9">F3/H3</f>
        <v>84121.92955</v>
      </c>
      <c r="W3" s="25">
        <f t="shared" ref="W3:W14" si="10">V3*(1-U3)</f>
        <v>84121.92955</v>
      </c>
      <c r="X3" s="3">
        <v>0.95</v>
      </c>
      <c r="Y3" s="3"/>
      <c r="Z3" s="41">
        <v>0.34</v>
      </c>
      <c r="AA3" s="3"/>
      <c r="AB3" s="26">
        <f t="shared" ref="AB3:AB14" si="11">X3-Z3</f>
        <v>0.61</v>
      </c>
      <c r="AC3" s="27">
        <f t="shared" ref="AC3:AF3" si="1">AC4+($AG3-$AG4)/4</f>
        <v>0.1311912431</v>
      </c>
      <c r="AD3" s="27">
        <f t="shared" si="1"/>
        <v>0.08919124311</v>
      </c>
      <c r="AE3" s="27">
        <f t="shared" si="1"/>
        <v>0.07419124311</v>
      </c>
      <c r="AF3" s="27">
        <f t="shared" si="1"/>
        <v>0.02519124311</v>
      </c>
      <c r="AG3" s="23">
        <f t="shared" ref="AG3:AG8" si="13">AG4*95%</f>
        <v>0.3197649724</v>
      </c>
      <c r="AH3" s="39">
        <f t="shared" ref="AH3:AH14" si="14">AG3+J3+N3-T3</f>
        <v>0.4208293418</v>
      </c>
      <c r="AI3" s="29">
        <f t="shared" ref="AI3:AI14" si="15">W3*AB3</f>
        <v>51314.37702</v>
      </c>
      <c r="AJ3" s="30" t="str">
        <f t="shared" ref="AJ3:AJ14" si="16">IFS(
AI3&lt;=2500,"D-",
AI3&lt;=5000,"D",
AI3&lt;=10000,"D+",
AI3&lt;=12500,"C-",
AI3&lt;=15000,"C",
AI3&lt;=20000,"C+",
AI3&lt;=25000,"B-",
AI3&lt;=30000,"B",
AI3&lt;=35000,"B+",
AI3&lt;=40000,"A-",
AI3&lt;=50000,"A",
AI3&lt;=100000,"A+",
TRUE,"Out of range"
)
</f>
        <v>A+</v>
      </c>
      <c r="AK3" s="30" t="str">
        <f t="shared" ref="AK3:AK14" si="17">CONCAT(ROUND(AH3,2),AJ3)</f>
        <v>0.42A+</v>
      </c>
    </row>
    <row r="4">
      <c r="A4" s="1">
        <v>2020.0</v>
      </c>
      <c r="B4" s="21">
        <f>84.75*1000000000000</f>
        <v>84750000000000</v>
      </c>
      <c r="C4" s="24">
        <f t="shared" ref="C4:C13" si="18">(B4-B3)/B3</f>
        <v>-0.03363740023</v>
      </c>
      <c r="D4" s="22">
        <f>7.89*10^9</f>
        <v>7890000000</v>
      </c>
      <c r="E4" s="24">
        <f t="shared" ref="E4:E13" si="19">(D4-D3)/D3</f>
        <v>0.01024327785</v>
      </c>
      <c r="F4" s="21">
        <v>7.419994E11</v>
      </c>
      <c r="G4" s="24">
        <f t="shared" ref="G4:G13" si="20">(F4-F3)/F3</f>
        <v>0.02859881301</v>
      </c>
      <c r="H4" s="32">
        <v>8638167.0</v>
      </c>
      <c r="I4" s="24">
        <f t="shared" ref="I4:I13" si="21">(H4-H3)/H3</f>
        <v>0.007333521471</v>
      </c>
      <c r="J4" s="23">
        <f t="shared" si="2"/>
        <v>0.008755155162</v>
      </c>
      <c r="K4" s="21">
        <v>4.280626E11</v>
      </c>
      <c r="L4" s="21">
        <v>4.755887E11</v>
      </c>
      <c r="M4" s="21">
        <f t="shared" si="3"/>
        <v>47526100000</v>
      </c>
      <c r="N4" s="23">
        <f t="shared" si="4"/>
        <v>0.0640513995</v>
      </c>
      <c r="O4" s="31">
        <v>0.20852108000000003</v>
      </c>
      <c r="P4" s="24">
        <f t="shared" ref="P4:P13" si="22">(O4-O3)/O3</f>
        <v>0.1001277813</v>
      </c>
      <c r="Q4" s="21">
        <f t="shared" si="5"/>
        <v>154722516247</v>
      </c>
      <c r="R4" s="31">
        <v>0.0335751</v>
      </c>
      <c r="S4" s="21">
        <f t="shared" si="6"/>
        <v>5194823955</v>
      </c>
      <c r="T4" s="23">
        <f t="shared" si="7"/>
        <v>0.007001116113</v>
      </c>
      <c r="U4" s="31">
        <f t="shared" si="8"/>
        <v>0</v>
      </c>
      <c r="V4" s="21">
        <f t="shared" si="9"/>
        <v>85897.78364</v>
      </c>
      <c r="W4" s="25">
        <f t="shared" si="10"/>
        <v>85897.78364</v>
      </c>
      <c r="X4" s="3">
        <v>0.96</v>
      </c>
      <c r="Y4" s="31">
        <f t="shared" ref="Y4:Y13" si="23">(X4-X3)/X3</f>
        <v>0.01052631579</v>
      </c>
      <c r="Z4" s="41">
        <v>0.337</v>
      </c>
      <c r="AA4" s="31">
        <f t="shared" ref="AA4:AA13" si="24">(Z4-Z3)/Z4</f>
        <v>-0.008902077151</v>
      </c>
      <c r="AB4" s="26">
        <f t="shared" si="11"/>
        <v>0.623</v>
      </c>
      <c r="AC4" s="27">
        <f t="shared" ref="AC4:AF4" si="12">AC5+($AG4-$AG5)/4</f>
        <v>0.135398677</v>
      </c>
      <c r="AD4" s="27">
        <f t="shared" si="12"/>
        <v>0.09339867695</v>
      </c>
      <c r="AE4" s="27">
        <f t="shared" si="12"/>
        <v>0.07839867695</v>
      </c>
      <c r="AF4" s="27">
        <f t="shared" si="12"/>
        <v>0.02939867695</v>
      </c>
      <c r="AG4" s="23">
        <f t="shared" si="13"/>
        <v>0.3365947078</v>
      </c>
      <c r="AH4" s="39">
        <f t="shared" si="14"/>
        <v>0.4024001464</v>
      </c>
      <c r="AI4" s="29">
        <f t="shared" si="15"/>
        <v>53514.31921</v>
      </c>
      <c r="AJ4" s="30" t="str">
        <f t="shared" si="16"/>
        <v>A+</v>
      </c>
      <c r="AK4" s="30" t="str">
        <f t="shared" si="17"/>
        <v>0.4A+</v>
      </c>
    </row>
    <row r="5">
      <c r="A5" s="1">
        <v>2021.0</v>
      </c>
      <c r="B5" s="21">
        <f>96.14*1000000000000</f>
        <v>96140000000000</v>
      </c>
      <c r="C5" s="24">
        <f t="shared" si="18"/>
        <v>0.1343952802</v>
      </c>
      <c r="D5" s="22">
        <f>7.95*10^9</f>
        <v>7950000000</v>
      </c>
      <c r="E5" s="24">
        <f t="shared" si="19"/>
        <v>0.007604562738</v>
      </c>
      <c r="F5" s="21">
        <v>8.153093E11</v>
      </c>
      <c r="G5" s="24">
        <f t="shared" si="20"/>
        <v>0.09880048421</v>
      </c>
      <c r="H5" s="32">
        <v>8704546.0</v>
      </c>
      <c r="I5" s="24">
        <f t="shared" si="21"/>
        <v>0.007684384893</v>
      </c>
      <c r="J5" s="23">
        <f t="shared" si="2"/>
        <v>0.008480437903</v>
      </c>
      <c r="K5" s="21">
        <v>4.80193E11</v>
      </c>
      <c r="L5" s="21">
        <v>5.798417E11</v>
      </c>
      <c r="M5" s="21">
        <f t="shared" si="3"/>
        <v>99648700000</v>
      </c>
      <c r="N5" s="23">
        <f t="shared" si="4"/>
        <v>0.1222219592</v>
      </c>
      <c r="O5" s="31">
        <v>0.19939191</v>
      </c>
      <c r="P5" s="24">
        <f t="shared" si="22"/>
        <v>-0.04378056166</v>
      </c>
      <c r="Q5" s="21">
        <f t="shared" si="5"/>
        <v>162566078568</v>
      </c>
      <c r="R5" s="31">
        <v>0.01301161</v>
      </c>
      <c r="S5" s="21">
        <f t="shared" si="6"/>
        <v>2115246414</v>
      </c>
      <c r="T5" s="23">
        <f t="shared" si="7"/>
        <v>0.00259440977</v>
      </c>
      <c r="U5" s="31">
        <f t="shared" si="8"/>
        <v>0</v>
      </c>
      <c r="V5" s="21">
        <f t="shared" si="9"/>
        <v>93664.77011</v>
      </c>
      <c r="W5" s="25">
        <f t="shared" si="10"/>
        <v>93664.77011</v>
      </c>
      <c r="X5" s="3">
        <v>0.96</v>
      </c>
      <c r="Y5" s="31">
        <f t="shared" si="23"/>
        <v>0</v>
      </c>
      <c r="Z5" s="41">
        <v>0.33799999999999997</v>
      </c>
      <c r="AA5" s="31">
        <f t="shared" si="24"/>
        <v>0.002958579882</v>
      </c>
      <c r="AB5" s="26">
        <f t="shared" si="11"/>
        <v>0.622</v>
      </c>
      <c r="AC5" s="27">
        <f t="shared" ref="AC5:AF5" si="25">AC6+($AG5-$AG6)/4</f>
        <v>0.1398275547</v>
      </c>
      <c r="AD5" s="27">
        <f t="shared" si="25"/>
        <v>0.09782755469</v>
      </c>
      <c r="AE5" s="27">
        <f t="shared" si="25"/>
        <v>0.08282755469</v>
      </c>
      <c r="AF5" s="27">
        <f t="shared" si="25"/>
        <v>0.03382755469</v>
      </c>
      <c r="AG5" s="23">
        <f t="shared" si="13"/>
        <v>0.3543102188</v>
      </c>
      <c r="AH5" s="39">
        <f t="shared" si="14"/>
        <v>0.4824182061</v>
      </c>
      <c r="AI5" s="29">
        <f t="shared" si="15"/>
        <v>58259.48701</v>
      </c>
      <c r="AJ5" s="30" t="str">
        <f t="shared" si="16"/>
        <v>A+</v>
      </c>
      <c r="AK5" s="30" t="str">
        <f t="shared" si="17"/>
        <v>0.48A+</v>
      </c>
    </row>
    <row r="6">
      <c r="A6" s="1">
        <v>2022.0</v>
      </c>
      <c r="B6" s="21">
        <f>101.56*1000000000000</f>
        <v>101560000000000</v>
      </c>
      <c r="C6" s="24">
        <f t="shared" si="18"/>
        <v>0.05637611816</v>
      </c>
      <c r="D6" s="22">
        <f>8.02*10^9</f>
        <v>8020000000</v>
      </c>
      <c r="E6" s="24">
        <f t="shared" si="19"/>
        <v>0.008805031447</v>
      </c>
      <c r="F6" s="21">
        <v>8.285089E11</v>
      </c>
      <c r="G6" s="24">
        <f t="shared" si="20"/>
        <v>0.01618968409</v>
      </c>
      <c r="H6" s="32">
        <v>8777088.0</v>
      </c>
      <c r="I6" s="24">
        <f t="shared" si="21"/>
        <v>0.008333806266</v>
      </c>
      <c r="J6" s="23">
        <f t="shared" si="2"/>
        <v>0.0081578269</v>
      </c>
      <c r="K6" s="21">
        <v>5.166659E11</v>
      </c>
      <c r="L6" s="21">
        <v>6.308248E11</v>
      </c>
      <c r="M6" s="21">
        <f t="shared" si="3"/>
        <v>114158900000</v>
      </c>
      <c r="N6" s="23">
        <f t="shared" si="4"/>
        <v>0.137788381</v>
      </c>
      <c r="O6" s="31">
        <v>0.17586186</v>
      </c>
      <c r="P6" s="24">
        <f t="shared" si="22"/>
        <v>-0.1180090506</v>
      </c>
      <c r="Q6" s="21">
        <f t="shared" si="5"/>
        <v>145703116181</v>
      </c>
      <c r="R6" s="31">
        <v>-0.00381724</v>
      </c>
      <c r="S6" s="21">
        <f t="shared" si="6"/>
        <v>-556183763.2</v>
      </c>
      <c r="T6" s="23">
        <f t="shared" si="7"/>
        <v>-0.0006713069265</v>
      </c>
      <c r="U6" s="31">
        <f t="shared" si="8"/>
        <v>0</v>
      </c>
      <c r="V6" s="21">
        <f t="shared" si="9"/>
        <v>94394.50761</v>
      </c>
      <c r="W6" s="25">
        <f t="shared" si="10"/>
        <v>94394.50761</v>
      </c>
      <c r="X6" s="3">
        <v>0.97</v>
      </c>
      <c r="Y6" s="31">
        <f t="shared" si="23"/>
        <v>0.01041666667</v>
      </c>
      <c r="Z6" s="41">
        <v>0.33799999999999997</v>
      </c>
      <c r="AA6" s="31">
        <f t="shared" si="24"/>
        <v>0</v>
      </c>
      <c r="AB6" s="26">
        <f t="shared" si="11"/>
        <v>0.632</v>
      </c>
      <c r="AC6" s="27">
        <f t="shared" ref="AC6:AF6" si="26">AC7+($AG6-$AG7)/4</f>
        <v>0.1444895313</v>
      </c>
      <c r="AD6" s="27">
        <f t="shared" si="26"/>
        <v>0.1024895313</v>
      </c>
      <c r="AE6" s="27">
        <f t="shared" si="26"/>
        <v>0.08748953125</v>
      </c>
      <c r="AF6" s="27">
        <f t="shared" si="26"/>
        <v>0.03848953125</v>
      </c>
      <c r="AG6" s="23">
        <f t="shared" si="13"/>
        <v>0.372958125</v>
      </c>
      <c r="AH6" s="39">
        <f t="shared" si="14"/>
        <v>0.5195756399</v>
      </c>
      <c r="AI6" s="29">
        <f t="shared" si="15"/>
        <v>59657.32881</v>
      </c>
      <c r="AJ6" s="30" t="str">
        <f t="shared" si="16"/>
        <v>A+</v>
      </c>
      <c r="AK6" s="30" t="str">
        <f t="shared" si="17"/>
        <v>0.52A+</v>
      </c>
    </row>
    <row r="7">
      <c r="A7" s="1">
        <v>2023.0</v>
      </c>
      <c r="B7" s="21">
        <f>106.8*1000000000000</f>
        <v>106800000000000</v>
      </c>
      <c r="C7" s="24">
        <f t="shared" si="18"/>
        <v>0.05159511619</v>
      </c>
      <c r="D7" s="32">
        <f>8.09*10^9</f>
        <v>8090000000</v>
      </c>
      <c r="E7" s="24">
        <f t="shared" si="19"/>
        <v>0.008728179551</v>
      </c>
      <c r="F7" s="21">
        <v>8.944248E11</v>
      </c>
      <c r="G7" s="24">
        <f t="shared" si="20"/>
        <v>0.07955967643</v>
      </c>
      <c r="H7" s="32">
        <v>8888822.0</v>
      </c>
      <c r="I7" s="24">
        <f t="shared" si="21"/>
        <v>0.01273019024</v>
      </c>
      <c r="J7" s="23">
        <f t="shared" si="2"/>
        <v>0.008374764045</v>
      </c>
      <c r="K7" s="21">
        <v>5.544257E11</v>
      </c>
      <c r="L7" s="21">
        <v>6.5591E11</v>
      </c>
      <c r="M7" s="21">
        <f t="shared" si="3"/>
        <v>101484300000</v>
      </c>
      <c r="N7" s="23">
        <f t="shared" si="4"/>
        <v>0.1134632</v>
      </c>
      <c r="O7" s="31">
        <v>0.19882299</v>
      </c>
      <c r="P7" s="24">
        <f t="shared" si="22"/>
        <v>0.1305634434</v>
      </c>
      <c r="Q7" s="21">
        <f t="shared" si="5"/>
        <v>177832213066</v>
      </c>
      <c r="R7" s="31">
        <v>0.01950389</v>
      </c>
      <c r="S7" s="21">
        <f t="shared" si="6"/>
        <v>3468419922</v>
      </c>
      <c r="T7" s="23">
        <f t="shared" si="7"/>
        <v>0.003877821726</v>
      </c>
      <c r="U7" s="31">
        <f t="shared" si="8"/>
        <v>0</v>
      </c>
      <c r="V7" s="21">
        <f t="shared" si="9"/>
        <v>100623.5472</v>
      </c>
      <c r="W7" s="25">
        <f t="shared" si="10"/>
        <v>100623.5472</v>
      </c>
      <c r="X7" s="3">
        <v>0.97</v>
      </c>
      <c r="Y7" s="31">
        <f t="shared" si="23"/>
        <v>0</v>
      </c>
      <c r="Z7" s="41">
        <f t="shared" ref="Z7:Z8" si="28">AVERAGE(Z6,$Z$9)</f>
        <v>0.3265</v>
      </c>
      <c r="AA7" s="31">
        <f t="shared" si="24"/>
        <v>-0.03522205207</v>
      </c>
      <c r="AB7" s="26">
        <f t="shared" si="11"/>
        <v>0.6435</v>
      </c>
      <c r="AC7" s="27">
        <f t="shared" ref="AC7:AF7" si="27">AC8+($AG7-$AG8)/4</f>
        <v>0.149396875</v>
      </c>
      <c r="AD7" s="27">
        <f t="shared" si="27"/>
        <v>0.107396875</v>
      </c>
      <c r="AE7" s="27">
        <f t="shared" si="27"/>
        <v>0.092396875</v>
      </c>
      <c r="AF7" s="27">
        <f t="shared" si="27"/>
        <v>0.043396875</v>
      </c>
      <c r="AG7" s="23">
        <f t="shared" si="13"/>
        <v>0.3925875</v>
      </c>
      <c r="AH7" s="39">
        <f t="shared" si="14"/>
        <v>0.5105476424</v>
      </c>
      <c r="AI7" s="29">
        <f t="shared" si="15"/>
        <v>64751.25262</v>
      </c>
      <c r="AJ7" s="30" t="str">
        <f t="shared" si="16"/>
        <v>A+</v>
      </c>
      <c r="AK7" s="30" t="str">
        <f t="shared" si="17"/>
        <v>0.51A+</v>
      </c>
    </row>
    <row r="8">
      <c r="A8" s="1">
        <v>2024.0</v>
      </c>
      <c r="B8" s="21">
        <f>112.6*1000000000000</f>
        <v>112600000000000</v>
      </c>
      <c r="C8" s="24">
        <f t="shared" si="18"/>
        <v>0.0543071161</v>
      </c>
      <c r="D8" s="32">
        <v>8.161972572E9</v>
      </c>
      <c r="E8" s="24">
        <f t="shared" si="19"/>
        <v>0.008896486032</v>
      </c>
      <c r="F8" s="21">
        <v>9.365642E11</v>
      </c>
      <c r="G8" s="24">
        <f t="shared" si="20"/>
        <v>0.04711340741</v>
      </c>
      <c r="H8" s="32">
        <v>9005582.0</v>
      </c>
      <c r="I8" s="24">
        <f t="shared" si="21"/>
        <v>0.01313559885</v>
      </c>
      <c r="J8" s="23">
        <f t="shared" si="2"/>
        <v>0.00831762167</v>
      </c>
      <c r="K8" s="21">
        <v>5.800723E11</v>
      </c>
      <c r="L8" s="21">
        <v>6.758148E11</v>
      </c>
      <c r="M8" s="21">
        <f t="shared" si="3"/>
        <v>95742500000</v>
      </c>
      <c r="N8" s="23">
        <f t="shared" si="4"/>
        <v>0.1022273753</v>
      </c>
      <c r="O8" s="31">
        <f>AVERAGE(O7,O9)</f>
        <v>0.288911495</v>
      </c>
      <c r="P8" s="24">
        <f t="shared" si="22"/>
        <v>0.4531090947</v>
      </c>
      <c r="Q8" s="21">
        <f t="shared" si="5"/>
        <v>270584163185</v>
      </c>
      <c r="R8" s="31">
        <v>0.01665947</v>
      </c>
      <c r="S8" s="21">
        <f t="shared" si="6"/>
        <v>4507788749</v>
      </c>
      <c r="T8" s="23">
        <f t="shared" si="7"/>
        <v>0.004813112384</v>
      </c>
      <c r="U8" s="31">
        <f t="shared" si="8"/>
        <v>0</v>
      </c>
      <c r="V8" s="21">
        <f t="shared" si="9"/>
        <v>103998.1869</v>
      </c>
      <c r="W8" s="25">
        <f t="shared" si="10"/>
        <v>103998.1869</v>
      </c>
      <c r="X8" s="3">
        <v>0.97</v>
      </c>
      <c r="Y8" s="31">
        <f t="shared" si="23"/>
        <v>0</v>
      </c>
      <c r="Z8" s="41">
        <f t="shared" si="28"/>
        <v>0.32075</v>
      </c>
      <c r="AA8" s="31">
        <f t="shared" si="24"/>
        <v>-0.01792673422</v>
      </c>
      <c r="AB8" s="26">
        <f t="shared" si="11"/>
        <v>0.64925</v>
      </c>
      <c r="AC8" s="27">
        <f t="shared" ref="AC8:AF8" si="29">AC9+($AG8-$AG9)/4</f>
        <v>0.1545625</v>
      </c>
      <c r="AD8" s="27">
        <f t="shared" si="29"/>
        <v>0.1125625</v>
      </c>
      <c r="AE8" s="27">
        <f t="shared" si="29"/>
        <v>0.0975625</v>
      </c>
      <c r="AF8" s="27">
        <f t="shared" si="29"/>
        <v>0.0485625</v>
      </c>
      <c r="AG8" s="23">
        <f t="shared" si="13"/>
        <v>0.41325</v>
      </c>
      <c r="AH8" s="39">
        <f t="shared" si="14"/>
        <v>0.5189818846</v>
      </c>
      <c r="AI8" s="29">
        <f t="shared" si="15"/>
        <v>67520.82285</v>
      </c>
      <c r="AJ8" s="30" t="str">
        <f t="shared" si="16"/>
        <v>A+</v>
      </c>
      <c r="AK8" s="30" t="str">
        <f t="shared" si="17"/>
        <v>0.52A+</v>
      </c>
    </row>
    <row r="9">
      <c r="A9" s="1">
        <v>2025.0</v>
      </c>
      <c r="B9" s="33">
        <v>1.13795678E14</v>
      </c>
      <c r="C9" s="24">
        <f t="shared" si="18"/>
        <v>0.01061880995</v>
      </c>
      <c r="D9" s="32">
        <v>8.23161307E9</v>
      </c>
      <c r="E9" s="24">
        <f t="shared" si="19"/>
        <v>0.008532312181</v>
      </c>
      <c r="F9" s="33">
        <v>9.47E11</v>
      </c>
      <c r="G9" s="24">
        <f t="shared" si="20"/>
        <v>0.01114264244</v>
      </c>
      <c r="H9" s="32">
        <v>9100000.0</v>
      </c>
      <c r="I9" s="24">
        <f t="shared" si="21"/>
        <v>0.01048438624</v>
      </c>
      <c r="J9" s="23">
        <f t="shared" si="2"/>
        <v>0.00832193293</v>
      </c>
      <c r="K9" s="33">
        <f>818200000000/2</f>
        <v>409100000000</v>
      </c>
      <c r="L9" s="21">
        <f t="shared" ref="L9:L14" si="30">K9+M9</f>
        <v>484580000000</v>
      </c>
      <c r="M9" s="33">
        <v>7.548E10</v>
      </c>
      <c r="N9" s="23">
        <f t="shared" si="4"/>
        <v>0.07970432946</v>
      </c>
      <c r="O9" s="24">
        <f>Q9/F9</f>
        <v>0.379</v>
      </c>
      <c r="P9" s="24">
        <f t="shared" si="22"/>
        <v>0.3118204245</v>
      </c>
      <c r="Q9" s="33">
        <v>3.58913E11</v>
      </c>
      <c r="R9" s="31">
        <v>0.0</v>
      </c>
      <c r="S9" s="21">
        <f t="shared" si="6"/>
        <v>0</v>
      </c>
      <c r="T9" s="23">
        <f t="shared" si="7"/>
        <v>0</v>
      </c>
      <c r="U9" s="31">
        <v>0.0</v>
      </c>
      <c r="V9" s="21">
        <f t="shared" si="9"/>
        <v>104065.9341</v>
      </c>
      <c r="W9" s="25">
        <f t="shared" si="10"/>
        <v>104065.9341</v>
      </c>
      <c r="X9" s="43">
        <v>0.97</v>
      </c>
      <c r="Y9" s="31">
        <f t="shared" si="23"/>
        <v>0</v>
      </c>
      <c r="Z9" s="41">
        <v>0.315</v>
      </c>
      <c r="AA9" s="31">
        <f t="shared" si="24"/>
        <v>-0.01825396825</v>
      </c>
      <c r="AB9" s="26">
        <f t="shared" si="11"/>
        <v>0.655</v>
      </c>
      <c r="AC9" s="31">
        <v>0.16</v>
      </c>
      <c r="AD9" s="31">
        <v>0.118</v>
      </c>
      <c r="AE9" s="31">
        <v>0.103</v>
      </c>
      <c r="AF9" s="31">
        <v>0.054</v>
      </c>
      <c r="AG9" s="23">
        <f>SUM(AC9:AF9)</f>
        <v>0.435</v>
      </c>
      <c r="AH9" s="39">
        <f t="shared" si="14"/>
        <v>0.5230262624</v>
      </c>
      <c r="AI9" s="29">
        <f t="shared" si="15"/>
        <v>68163.18681</v>
      </c>
      <c r="AJ9" s="30" t="str">
        <f t="shared" si="16"/>
        <v>A+</v>
      </c>
      <c r="AK9" s="30" t="str">
        <f t="shared" si="17"/>
        <v>0.52A+</v>
      </c>
    </row>
    <row r="10">
      <c r="A10" s="34">
        <v>2026.0</v>
      </c>
      <c r="B10" s="21">
        <f>AVERAGE(FORECAST(A10,B3:B9,$A$3:$A$9),B9*(AVERAGE(C4:C9)+1))</f>
        <v>120063810405112</v>
      </c>
      <c r="C10" s="24">
        <f t="shared" si="18"/>
        <v>0.05508234157</v>
      </c>
      <c r="D10" s="22">
        <f>AVERAGE(FORECAST(A10,D3:D9,$A$3:$A$9),D9*(AVERAGE(E4:E9)+1))</f>
        <v>8302201675</v>
      </c>
      <c r="E10" s="24">
        <f t="shared" si="19"/>
        <v>0.008575306441</v>
      </c>
      <c r="F10" s="21">
        <f>AVERAGE(FORECAST(A10,F3:F9,$A$3:$A$9),F9*(AVERAGE(G4:G9)+1))</f>
        <v>997872771506</v>
      </c>
      <c r="G10" s="24">
        <f t="shared" si="20"/>
        <v>0.05371992767</v>
      </c>
      <c r="H10" s="22">
        <f>AVERAGE(FORECAST(A10,H3:H9,$A$3:$A$9),H9*(AVERAGE(I4:I9)+1))</f>
        <v>9179756.146</v>
      </c>
      <c r="I10" s="24">
        <f t="shared" si="21"/>
        <v>0.008764411647</v>
      </c>
      <c r="J10" s="35">
        <f t="shared" si="2"/>
        <v>0.008311186928</v>
      </c>
      <c r="K10" s="36">
        <f>FORECAST(A10,K3:K9,A3:A9)</f>
        <v>535624342857</v>
      </c>
      <c r="L10" s="36">
        <f t="shared" si="30"/>
        <v>638097871429</v>
      </c>
      <c r="M10" s="21">
        <f>FORECAST(A10,M3:M9,$A$3:$A$9)</f>
        <v>102473528571</v>
      </c>
      <c r="N10" s="24">
        <f t="shared" si="4"/>
        <v>0.1026919779</v>
      </c>
      <c r="O10" s="24">
        <f>AVERAGE(FORECAST(A10,O3:O9,$A$3:$A$9),O9*(AVERAGE(P4:P9)+1))</f>
        <v>0.3850234555</v>
      </c>
      <c r="P10" s="24">
        <f t="shared" si="22"/>
        <v>0.01589302243</v>
      </c>
      <c r="Q10" s="21">
        <f t="shared" ref="Q10:Q14" si="32">O10*F10</f>
        <v>384204422634</v>
      </c>
      <c r="R10" s="24">
        <f>FORECAST(A10,R3:R9,$A$3:$A$9)</f>
        <v>-0.0004570642857</v>
      </c>
      <c r="S10" s="21">
        <f t="shared" si="6"/>
        <v>-175606120</v>
      </c>
      <c r="T10" s="24">
        <f t="shared" si="7"/>
        <v>-0.0001759804707</v>
      </c>
      <c r="U10" s="24">
        <f>FORECAST(A10,U3:U9,$A$3:$A$9)</f>
        <v>0</v>
      </c>
      <c r="V10" s="21">
        <f t="shared" si="9"/>
        <v>108703.6252</v>
      </c>
      <c r="W10" s="21">
        <f t="shared" si="10"/>
        <v>108703.6252</v>
      </c>
      <c r="X10" s="37">
        <f>AVERAGE(FORECAST(A10,X3:X9,$A$3:$A$9),X9*(AVERAGE(Y4:Y9)+1))</f>
        <v>0.9752643197</v>
      </c>
      <c r="Y10" s="31">
        <f t="shared" si="23"/>
        <v>0.005427133663</v>
      </c>
      <c r="Z10" s="38">
        <f>AVERAGE(FORECAST(A10,Z3:Z9,$A$3:$A$9),Z9*(AVERAGE(AA4:AA9)+1))</f>
        <v>0.3123446609</v>
      </c>
      <c r="AA10" s="31">
        <f t="shared" si="24"/>
        <v>-0.008501311027</v>
      </c>
      <c r="AB10" s="37">
        <f t="shared" si="11"/>
        <v>0.6629196588</v>
      </c>
      <c r="AC10" s="27">
        <f t="shared" ref="AC10:AF10" si="31">AC9+($AG10-$AG9)/4</f>
        <v>0.1654375</v>
      </c>
      <c r="AD10" s="27">
        <f t="shared" si="31"/>
        <v>0.1234375</v>
      </c>
      <c r="AE10" s="27">
        <f t="shared" si="31"/>
        <v>0.1084375</v>
      </c>
      <c r="AF10" s="27">
        <f t="shared" si="31"/>
        <v>0.0594375</v>
      </c>
      <c r="AG10" s="24">
        <f t="shared" ref="AG10:AG14" si="34">AG9*1.05</f>
        <v>0.45675</v>
      </c>
      <c r="AH10" s="38">
        <f t="shared" si="14"/>
        <v>0.5679291453</v>
      </c>
      <c r="AI10" s="21">
        <f t="shared" si="15"/>
        <v>72061.77012</v>
      </c>
      <c r="AJ10" s="30" t="str">
        <f t="shared" si="16"/>
        <v>A+</v>
      </c>
      <c r="AK10" s="30" t="str">
        <f t="shared" si="17"/>
        <v>0.57A+</v>
      </c>
    </row>
    <row r="11">
      <c r="A11" s="34">
        <v>2027.0</v>
      </c>
      <c r="B11" s="21">
        <f>AVERAGE(FORECAST($A11,B3:B10,$A3:$A10),B10*(AVERAGE(C4:C10)+1))</f>
        <v>125735541889780</v>
      </c>
      <c r="C11" s="24">
        <f t="shared" si="18"/>
        <v>0.04723930938</v>
      </c>
      <c r="D11" s="22">
        <f>AVERAGE(FORECAST($A11,D3:D10,$A3:$A10),D10*(AVERAGE(E4:E10)+1))</f>
        <v>8372937901</v>
      </c>
      <c r="E11" s="24">
        <f t="shared" si="19"/>
        <v>0.008520176861</v>
      </c>
      <c r="F11" s="21">
        <f>AVERAGE(FORECAST($A11,F3:F10,$A3:$A10),F10*(AVERAGE(G4:G10)+1))</f>
        <v>1043822646385</v>
      </c>
      <c r="G11" s="24">
        <f t="shared" si="20"/>
        <v>0.04604782913</v>
      </c>
      <c r="H11" s="22">
        <f>AVERAGE(FORECAST($A11,H3:H10,$A3:$A10),H10*(AVERAGE(I4:I10)+1))</f>
        <v>9266473.962</v>
      </c>
      <c r="I11" s="24">
        <f t="shared" si="21"/>
        <v>0.009446636119</v>
      </c>
      <c r="J11" s="35">
        <f t="shared" si="2"/>
        <v>0.008301731004</v>
      </c>
      <c r="K11" s="36">
        <f>FORECAST(A11,K3:K10,A3:A10)</f>
        <v>548785067857</v>
      </c>
      <c r="L11" s="21">
        <f t="shared" si="30"/>
        <v>655278492857</v>
      </c>
      <c r="M11" s="21">
        <f>FORECAST($A11,M3:M10,$A3:$A10)</f>
        <v>106493425000</v>
      </c>
      <c r="N11" s="24">
        <f t="shared" si="4"/>
        <v>0.1020225278</v>
      </c>
      <c r="O11" s="24">
        <f>AVERAGE(FORECAST($A11,O3:O10,$A3:$A10),O10*(AVERAGE(P4:P10)+1))</f>
        <v>0.4097410045</v>
      </c>
      <c r="P11" s="24">
        <f t="shared" si="22"/>
        <v>0.06419751479</v>
      </c>
      <c r="Q11" s="21">
        <f t="shared" si="32"/>
        <v>427696939629</v>
      </c>
      <c r="R11" s="24">
        <f>FORECAST($A11,R3:R10,$A3:$A10)</f>
        <v>-0.004368811786</v>
      </c>
      <c r="S11" s="21">
        <f t="shared" si="6"/>
        <v>-1868527431</v>
      </c>
      <c r="T11" s="24">
        <f t="shared" si="7"/>
        <v>-0.001790081329</v>
      </c>
      <c r="U11" s="24">
        <f>FORECAST($A11,U3:U10,$A3:$A10)</f>
        <v>0</v>
      </c>
      <c r="V11" s="21">
        <f t="shared" si="9"/>
        <v>112645.0741</v>
      </c>
      <c r="W11" s="21">
        <f t="shared" si="10"/>
        <v>112645.0741</v>
      </c>
      <c r="X11" s="37">
        <f>AVERAGE(FORECAST($A11,X3:X10,$A3:$A10),X10*(AVERAGE(Y4:Y10)+1))</f>
        <v>0.979178085</v>
      </c>
      <c r="Y11" s="31">
        <f t="shared" si="23"/>
        <v>0.004013030363</v>
      </c>
      <c r="Z11" s="38">
        <f>AVERAGE(FORECAST($A11,Z3:Z10,$A3:$A10),Z10*(AVERAGE(AA4:AA10)+1))</f>
        <v>0.308655708</v>
      </c>
      <c r="AA11" s="31">
        <f t="shared" si="24"/>
        <v>-0.01195167572</v>
      </c>
      <c r="AB11" s="37">
        <f t="shared" si="11"/>
        <v>0.670522377</v>
      </c>
      <c r="AC11" s="27">
        <f t="shared" ref="AC11:AF11" si="33">AC10+($AG11-$AG10)/4</f>
        <v>0.171146875</v>
      </c>
      <c r="AD11" s="27">
        <f t="shared" si="33"/>
        <v>0.129146875</v>
      </c>
      <c r="AE11" s="27">
        <f t="shared" si="33"/>
        <v>0.114146875</v>
      </c>
      <c r="AF11" s="27">
        <f t="shared" si="33"/>
        <v>0.065146875</v>
      </c>
      <c r="AG11" s="24">
        <f t="shared" si="34"/>
        <v>0.4795875</v>
      </c>
      <c r="AH11" s="38">
        <f t="shared" si="14"/>
        <v>0.5917018402</v>
      </c>
      <c r="AI11" s="21">
        <f t="shared" si="15"/>
        <v>75531.04287</v>
      </c>
      <c r="AJ11" s="30" t="str">
        <f t="shared" si="16"/>
        <v>A+</v>
      </c>
      <c r="AK11" s="30" t="str">
        <f t="shared" si="17"/>
        <v>0.59A+</v>
      </c>
    </row>
    <row r="12">
      <c r="A12" s="34">
        <v>2028.0</v>
      </c>
      <c r="B12" s="21">
        <f>AVERAGE(FORECAST($A12,B3:B11,$A3:$A11),B11*(AVERAGE(C4:C11)+1))</f>
        <v>131237442252096</v>
      </c>
      <c r="C12" s="24">
        <f t="shared" si="18"/>
        <v>0.04375771782</v>
      </c>
      <c r="D12" s="22">
        <f>AVERAGE(FORECAST($A12,D3:D11,$A3:$A11),D11*(AVERAGE(E4:E11)+1))</f>
        <v>8443822776</v>
      </c>
      <c r="E12" s="24">
        <f t="shared" si="19"/>
        <v>0.008465950178</v>
      </c>
      <c r="F12" s="21">
        <f>AVERAGE(FORECAST($A12,F3:F11,$A3:$A11),F11*(AVERAGE(G4:G11)+1))</f>
        <v>1088363288456</v>
      </c>
      <c r="G12" s="24">
        <f t="shared" si="20"/>
        <v>0.04267069911</v>
      </c>
      <c r="H12" s="22">
        <f>AVERAGE(FORECAST($A12,H3:H11,$A3:$A11),H11*(AVERAGE(I4:I11)+1))</f>
        <v>9355717.511</v>
      </c>
      <c r="I12" s="24">
        <f t="shared" si="21"/>
        <v>0.00963079907</v>
      </c>
      <c r="J12" s="35">
        <f t="shared" si="2"/>
        <v>0.008293085188</v>
      </c>
      <c r="K12" s="36">
        <f>FORECAST(A12,K3:K11,A3:A11)</f>
        <v>561945792857</v>
      </c>
      <c r="L12" s="21">
        <f t="shared" si="30"/>
        <v>672459114286</v>
      </c>
      <c r="M12" s="21">
        <f t="shared" ref="M12:M14" si="36">FORECAST($A12,M3:M11,$A3:$A11)</f>
        <v>110513321429</v>
      </c>
      <c r="N12" s="24">
        <f t="shared" si="4"/>
        <v>0.101540839</v>
      </c>
      <c r="O12" s="24">
        <f>AVERAGE(FORECAST($A12,O3:O11,$A3:$A11),O11*(AVERAGE(P4:P11)+1))</f>
        <v>0.441982802</v>
      </c>
      <c r="P12" s="24">
        <f t="shared" si="22"/>
        <v>0.07868823751</v>
      </c>
      <c r="Q12" s="21">
        <f t="shared" si="32"/>
        <v>481037855780</v>
      </c>
      <c r="R12" s="24">
        <f>FORECAST($A12,R3:R11,$A3:$A11)</f>
        <v>-0.008280559286</v>
      </c>
      <c r="S12" s="21">
        <f t="shared" si="6"/>
        <v>-3983262483</v>
      </c>
      <c r="T12" s="24">
        <f t="shared" si="7"/>
        <v>-0.003659864795</v>
      </c>
      <c r="U12" s="24">
        <f>FORECAST($A12,U3:U11,$A3:$A11)</f>
        <v>0</v>
      </c>
      <c r="V12" s="21">
        <f t="shared" si="9"/>
        <v>116331.3543</v>
      </c>
      <c r="W12" s="21">
        <f t="shared" si="10"/>
        <v>116331.3543</v>
      </c>
      <c r="X12" s="37">
        <f>AVERAGE(FORECAST($A12,X3:X11,$A3:$A11),X11*(AVERAGE(Y4:Y11)+1))</f>
        <v>0.9826329705</v>
      </c>
      <c r="Y12" s="31">
        <f t="shared" si="23"/>
        <v>0.003528352561</v>
      </c>
      <c r="Z12" s="37">
        <f>AVERAGE(FORECAST($A12,Z3:Z11,$A3:$A11),Z11*(AVERAGE(AA4:AA11)+1))</f>
        <v>0.3046248484</v>
      </c>
      <c r="AA12" s="31">
        <f t="shared" si="24"/>
        <v>-0.01323220861</v>
      </c>
      <c r="AB12" s="37">
        <f t="shared" si="11"/>
        <v>0.6780081221</v>
      </c>
      <c r="AC12" s="27">
        <f t="shared" ref="AC12:AF12" si="35">AC11+($AG12-$AG11)/4</f>
        <v>0.1771417188</v>
      </c>
      <c r="AD12" s="27">
        <f t="shared" si="35"/>
        <v>0.1351417188</v>
      </c>
      <c r="AE12" s="27">
        <f t="shared" si="35"/>
        <v>0.1201417188</v>
      </c>
      <c r="AF12" s="27">
        <f t="shared" si="35"/>
        <v>0.07114171875</v>
      </c>
      <c r="AG12" s="24">
        <f t="shared" si="34"/>
        <v>0.503566875</v>
      </c>
      <c r="AH12" s="38">
        <f t="shared" si="14"/>
        <v>0.617060664</v>
      </c>
      <c r="AI12" s="21">
        <f t="shared" si="15"/>
        <v>78873.60306</v>
      </c>
      <c r="AJ12" s="30" t="str">
        <f t="shared" si="16"/>
        <v>A+</v>
      </c>
      <c r="AK12" s="30" t="str">
        <f t="shared" si="17"/>
        <v>0.62A+</v>
      </c>
    </row>
    <row r="13">
      <c r="A13" s="34">
        <v>2029.0</v>
      </c>
      <c r="B13" s="21">
        <f>AVERAGE(FORECAST($A13,B3:B12,$A3:$A12),B12*(AVERAGE(C4:C12)+1))</f>
        <v>136712479650225</v>
      </c>
      <c r="C13" s="24">
        <f t="shared" si="18"/>
        <v>0.0417185622</v>
      </c>
      <c r="D13" s="22">
        <f>AVERAGE(FORECAST($A13,D3:D12,$A3:$A12),D12*(AVERAGE(E4:E12)+1))</f>
        <v>8514849364</v>
      </c>
      <c r="E13" s="24">
        <f t="shared" si="19"/>
        <v>0.008411662476</v>
      </c>
      <c r="F13" s="21">
        <f>AVERAGE(FORECAST($A13,F3:F12,$A3:$A12),F12*(AVERAGE(G4:G12)+1))</f>
        <v>1132673224695</v>
      </c>
      <c r="G13" s="24">
        <f t="shared" si="20"/>
        <v>0.04071245025</v>
      </c>
      <c r="H13" s="22">
        <f>AVERAGE(FORECAST($A13,H3:H12,$A3:$A12),H12*(AVERAGE(I4:I12)+1))</f>
        <v>9445992.851</v>
      </c>
      <c r="I13" s="24">
        <f t="shared" si="21"/>
        <v>0.00964921616</v>
      </c>
      <c r="J13" s="35">
        <f t="shared" si="2"/>
        <v>0.008285075566</v>
      </c>
      <c r="K13" s="36">
        <f>FORECAST(A13,K3:K12,A3:A12)</f>
        <v>575106517857</v>
      </c>
      <c r="L13" s="21">
        <f t="shared" si="30"/>
        <v>688534494345</v>
      </c>
      <c r="M13" s="21">
        <f t="shared" si="36"/>
        <v>113427976488</v>
      </c>
      <c r="N13" s="24">
        <f t="shared" si="4"/>
        <v>0.1001418362</v>
      </c>
      <c r="O13" s="24">
        <f>AVERAGE(FORECAST($A13,O3:O12,$A3:$A12),O12*(AVERAGE(P4:P12)+1))</f>
        <v>0.4776738658</v>
      </c>
      <c r="P13" s="24">
        <f t="shared" si="22"/>
        <v>0.08075215532</v>
      </c>
      <c r="Q13" s="21">
        <f t="shared" si="32"/>
        <v>541048397962</v>
      </c>
      <c r="R13" s="24">
        <f>FORECAST($A13,R3:R12,$A3:$A12)</f>
        <v>-0.01219230679</v>
      </c>
      <c r="S13" s="21">
        <f t="shared" si="6"/>
        <v>-6596628054</v>
      </c>
      <c r="T13" s="24">
        <f t="shared" si="7"/>
        <v>-0.005823946316</v>
      </c>
      <c r="U13" s="24">
        <f>FORECAST($A13,U3:U12,$A3:$A12)</f>
        <v>0</v>
      </c>
      <c r="V13" s="21">
        <f t="shared" si="9"/>
        <v>119910.447</v>
      </c>
      <c r="W13" s="21">
        <f t="shared" si="10"/>
        <v>119910.447</v>
      </c>
      <c r="X13" s="37">
        <f>AVERAGE(FORECAST($A13,X3:X12,$A3:$A12),X12*(AVERAGE(Y4:Y12)+1))</f>
        <v>0.9859259226</v>
      </c>
      <c r="Y13" s="31">
        <f t="shared" si="23"/>
        <v>0.003351151691</v>
      </c>
      <c r="Z13" s="37">
        <f>AVERAGE(FORECAST($A13,Z3:Z12,$A3:$A12),Z12*(AVERAGE(AA4:AA12)+1))</f>
        <v>0.3004802479</v>
      </c>
      <c r="AA13" s="31">
        <f t="shared" si="24"/>
        <v>-0.01379325443</v>
      </c>
      <c r="AB13" s="37">
        <f t="shared" si="11"/>
        <v>0.6854456747</v>
      </c>
      <c r="AC13" s="27">
        <f t="shared" ref="AC13:AF13" si="37">AC12+($AG13-$AG12)/4</f>
        <v>0.1834363047</v>
      </c>
      <c r="AD13" s="27">
        <f t="shared" si="37"/>
        <v>0.1414363047</v>
      </c>
      <c r="AE13" s="27">
        <f t="shared" si="37"/>
        <v>0.1264363047</v>
      </c>
      <c r="AF13" s="27">
        <f t="shared" si="37"/>
        <v>0.07743630469</v>
      </c>
      <c r="AG13" s="24">
        <f t="shared" si="34"/>
        <v>0.5287452188</v>
      </c>
      <c r="AH13" s="38">
        <f t="shared" si="14"/>
        <v>0.6429960768</v>
      </c>
      <c r="AI13" s="21">
        <f t="shared" si="15"/>
        <v>82192.09722</v>
      </c>
      <c r="AJ13" s="30" t="str">
        <f t="shared" si="16"/>
        <v>A+</v>
      </c>
      <c r="AK13" s="30" t="str">
        <f t="shared" si="17"/>
        <v>0.64A+</v>
      </c>
    </row>
    <row r="14">
      <c r="A14" s="34">
        <v>2030.0</v>
      </c>
      <c r="B14" s="21">
        <f>AVERAGE(FORECAST($A14,B5:B13,$A5:$A13),B13*(AVERAGE(C6:C13)+1))</f>
        <v>141834754671550</v>
      </c>
      <c r="C14" s="24"/>
      <c r="D14" s="22">
        <f>AVERAGE(FORECAST($A14,D5:D13,$A5:$A13),D13*(AVERAGE(E6:E13)+1))</f>
        <v>8586617399</v>
      </c>
      <c r="E14" s="24"/>
      <c r="F14" s="21">
        <f>AVERAGE(FORECAST($A14,F5:F13,$A5:$A13),F13*(AVERAGE(G6:G13)+1))</f>
        <v>1173059134635</v>
      </c>
      <c r="H14" s="22">
        <f>AVERAGE(FORECAST($A14,H5:H13,$A5:$A13),H13*(AVERAGE(I6:I13)+1))</f>
        <v>9546362.924</v>
      </c>
      <c r="J14" s="35">
        <f t="shared" si="2"/>
        <v>0.008270604319</v>
      </c>
      <c r="K14" s="36">
        <f>FORECAST(A14,K3:K13,A3:A13)</f>
        <v>588267242857</v>
      </c>
      <c r="L14" s="21">
        <f t="shared" si="30"/>
        <v>695502785979</v>
      </c>
      <c r="M14" s="21">
        <f t="shared" si="36"/>
        <v>107235543122</v>
      </c>
      <c r="N14" s="24">
        <f t="shared" si="4"/>
        <v>0.09141529183</v>
      </c>
      <c r="O14" s="24">
        <f>AVERAGE(FORECAST($A14,O3:O13,$A3:$A13),O13*(AVERAGE(P4:P13)+1))</f>
        <v>0.5152411233</v>
      </c>
      <c r="Q14" s="21">
        <f t="shared" si="32"/>
        <v>604408306284</v>
      </c>
      <c r="R14" s="24">
        <f>FORECAST($A14,R3:R13,$A3:$A13)</f>
        <v>-0.01610405429</v>
      </c>
      <c r="S14" s="21">
        <f t="shared" si="6"/>
        <v>-9733424175</v>
      </c>
      <c r="T14" s="24">
        <f t="shared" si="7"/>
        <v>-0.008297471021</v>
      </c>
      <c r="U14" s="24">
        <f>FORECAST($A14,U3:U13,$A3:$A13)</f>
        <v>0</v>
      </c>
      <c r="V14" s="21">
        <f t="shared" si="9"/>
        <v>122880.2156</v>
      </c>
      <c r="W14" s="21">
        <f t="shared" si="10"/>
        <v>122880.2156</v>
      </c>
      <c r="X14" s="37">
        <f>AVERAGE(FORECAST($A14,X3:X13,$A3:$A13),X13*(AVERAGE(Y4:Y13)+1))</f>
        <v>0.9891605961</v>
      </c>
      <c r="Z14" s="37">
        <f>AVERAGE(FORECAST($A14,Z3:Z13,$A3:$A13),Z13*(AVERAGE(AA4:AA13)+1))</f>
        <v>0.2963006521</v>
      </c>
      <c r="AB14" s="37">
        <f t="shared" si="11"/>
        <v>0.692859944</v>
      </c>
      <c r="AC14" s="27">
        <f t="shared" ref="AC14:AF14" si="38">AC13+($AG14-$AG13)/4</f>
        <v>0.1900456199</v>
      </c>
      <c r="AD14" s="27">
        <f t="shared" si="38"/>
        <v>0.1480456199</v>
      </c>
      <c r="AE14" s="27">
        <f t="shared" si="38"/>
        <v>0.1330456199</v>
      </c>
      <c r="AF14" s="27">
        <f t="shared" si="38"/>
        <v>0.08404561992</v>
      </c>
      <c r="AG14" s="24">
        <f t="shared" si="34"/>
        <v>0.5551824797</v>
      </c>
      <c r="AH14" s="38">
        <f t="shared" si="14"/>
        <v>0.6631658469</v>
      </c>
      <c r="AI14" s="21">
        <f t="shared" si="15"/>
        <v>85138.77933</v>
      </c>
      <c r="AJ14" s="30" t="str">
        <f t="shared" si="16"/>
        <v>A+</v>
      </c>
      <c r="AK14" s="30" t="str">
        <f t="shared" si="17"/>
        <v>0.66A+</v>
      </c>
    </row>
    <row r="16">
      <c r="C16" s="45"/>
      <c r="D16" s="45"/>
      <c r="E16" s="45"/>
      <c r="F16" s="45"/>
      <c r="G16" s="45"/>
      <c r="H16" s="45"/>
      <c r="I16" s="45"/>
      <c r="J16" s="45"/>
      <c r="K16" s="45"/>
      <c r="L16" s="45"/>
      <c r="M16" s="45"/>
    </row>
    <row r="17">
      <c r="C17" s="45"/>
      <c r="E17" s="45"/>
      <c r="F17" s="45"/>
      <c r="G17" s="45"/>
      <c r="H17" s="45"/>
      <c r="I17" s="47"/>
      <c r="J17" s="47"/>
      <c r="K17" s="47"/>
      <c r="L17" s="45"/>
      <c r="M17" s="45"/>
      <c r="N17" s="45"/>
      <c r="O17" s="45"/>
    </row>
    <row r="18">
      <c r="C18" s="45"/>
      <c r="E18" s="45"/>
      <c r="I18" s="46"/>
      <c r="J18" s="46"/>
      <c r="K18" s="46"/>
      <c r="L18" s="46"/>
      <c r="M18" s="46"/>
    </row>
    <row r="19">
      <c r="C19" s="45"/>
      <c r="E19" s="45"/>
      <c r="I19" s="46"/>
      <c r="J19" s="46"/>
      <c r="K19" s="46"/>
      <c r="L19" s="46"/>
      <c r="M19" s="46"/>
    </row>
    <row r="20">
      <c r="C20" s="45"/>
      <c r="E20" s="45"/>
      <c r="I20" s="46"/>
      <c r="J20" s="46"/>
      <c r="K20" s="46"/>
      <c r="L20" s="46"/>
      <c r="M20" s="46"/>
    </row>
    <row r="21">
      <c r="C21" s="45"/>
      <c r="E21" s="45"/>
      <c r="I21" s="46"/>
      <c r="J21" s="46"/>
      <c r="K21" s="46"/>
      <c r="L21" s="46"/>
      <c r="M21" s="46"/>
    </row>
    <row r="22">
      <c r="C22" s="45"/>
      <c r="E22" s="45"/>
      <c r="I22" s="46"/>
      <c r="J22" s="46"/>
      <c r="K22" s="46"/>
      <c r="L22" s="46"/>
      <c r="M22" s="46"/>
    </row>
    <row r="23">
      <c r="E23" s="45"/>
      <c r="K23" s="46"/>
      <c r="L23" s="46"/>
      <c r="M23" s="46"/>
    </row>
  </sheetData>
  <mergeCells count="1">
    <mergeCell ref="B1:AK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18.38"/>
    <col customWidth="1" min="16" max="16" width="18.5"/>
    <col customWidth="1" min="17" max="17" width="16.75"/>
    <col customWidth="1" min="19" max="19" width="14.38"/>
    <col customWidth="1" min="20" max="20" width="20.5"/>
    <col customWidth="1" min="35" max="35" width="19.88"/>
    <col customWidth="1" min="36" max="36" width="16.88"/>
  </cols>
  <sheetData>
    <row r="1">
      <c r="A1" s="1" t="s">
        <v>88</v>
      </c>
      <c r="B1" s="18" t="s">
        <v>124</v>
      </c>
      <c r="AL1" s="18"/>
      <c r="AM1" s="18"/>
      <c r="AN1" s="18"/>
      <c r="AO1" s="18"/>
      <c r="AP1" s="18"/>
      <c r="AQ1" s="18"/>
    </row>
    <row r="2">
      <c r="A2" s="1" t="s">
        <v>90</v>
      </c>
      <c r="B2" s="1" t="s">
        <v>20</v>
      </c>
      <c r="C2" s="1" t="s">
        <v>91</v>
      </c>
      <c r="D2" s="1" t="s">
        <v>92</v>
      </c>
      <c r="E2" s="1" t="s">
        <v>93</v>
      </c>
      <c r="F2" s="1" t="s">
        <v>19</v>
      </c>
      <c r="G2" s="1" t="s">
        <v>94</v>
      </c>
      <c r="H2" s="1" t="s">
        <v>95</v>
      </c>
      <c r="I2" s="1" t="s">
        <v>96</v>
      </c>
      <c r="J2" s="19" t="s">
        <v>97</v>
      </c>
      <c r="K2" s="1" t="s">
        <v>98</v>
      </c>
      <c r="L2" s="1" t="s">
        <v>99</v>
      </c>
      <c r="M2" s="1" t="s">
        <v>100</v>
      </c>
      <c r="N2" s="19" t="s">
        <v>102</v>
      </c>
      <c r="O2" s="1" t="s">
        <v>103</v>
      </c>
      <c r="P2" s="1" t="s">
        <v>104</v>
      </c>
      <c r="Q2" s="1" t="s">
        <v>105</v>
      </c>
      <c r="R2" s="1" t="s">
        <v>106</v>
      </c>
      <c r="S2" s="1" t="s">
        <v>107</v>
      </c>
      <c r="T2" s="19" t="s">
        <v>108</v>
      </c>
      <c r="U2" s="1" t="s">
        <v>25</v>
      </c>
      <c r="V2" s="1" t="s">
        <v>109</v>
      </c>
      <c r="W2" s="19" t="s">
        <v>5</v>
      </c>
      <c r="X2" s="1" t="s">
        <v>29</v>
      </c>
      <c r="Y2" s="1" t="s">
        <v>110</v>
      </c>
      <c r="Z2" s="1" t="s">
        <v>30</v>
      </c>
      <c r="AA2" s="1" t="s">
        <v>111</v>
      </c>
      <c r="AB2" s="19" t="s">
        <v>9</v>
      </c>
      <c r="AC2" s="1" t="s">
        <v>112</v>
      </c>
      <c r="AD2" s="1" t="s">
        <v>113</v>
      </c>
      <c r="AE2" s="1" t="s">
        <v>114</v>
      </c>
      <c r="AF2" s="1" t="s">
        <v>115</v>
      </c>
      <c r="AG2" s="19" t="s">
        <v>116</v>
      </c>
      <c r="AH2" s="20" t="s">
        <v>117</v>
      </c>
      <c r="AI2" s="20" t="s">
        <v>2</v>
      </c>
      <c r="AJ2" s="1" t="s">
        <v>118</v>
      </c>
      <c r="AK2" s="1" t="s">
        <v>119</v>
      </c>
      <c r="AL2" s="48" t="s">
        <v>125</v>
      </c>
      <c r="AM2" s="1"/>
      <c r="AN2" s="1"/>
      <c r="AO2" s="1"/>
      <c r="AP2" s="1"/>
      <c r="AQ2" s="1"/>
    </row>
    <row r="3">
      <c r="A3" s="1">
        <v>2019.0</v>
      </c>
      <c r="B3" s="21">
        <f>87.7*1000000000000</f>
        <v>87700000000000</v>
      </c>
      <c r="C3" s="21"/>
      <c r="D3" s="22">
        <f>7.81*10^9</f>
        <v>7810000000</v>
      </c>
      <c r="E3" s="22"/>
      <c r="F3" s="21">
        <v>4.477547E11</v>
      </c>
      <c r="G3" s="21"/>
      <c r="H3" s="32">
        <v>4.4973465E7</v>
      </c>
      <c r="I3" s="22"/>
      <c r="J3" s="23">
        <f t="shared" ref="J3:J14" si="2">F3/B3</f>
        <v>0.005105526796</v>
      </c>
      <c r="K3" s="21">
        <v>6.584562E10</v>
      </c>
      <c r="L3" s="21">
        <v>8.025948E10</v>
      </c>
      <c r="M3" s="21">
        <f t="shared" ref="M3:M8" si="3">L3-K3</f>
        <v>14413860000</v>
      </c>
      <c r="N3" s="23">
        <f t="shared" ref="N3:N14" si="4">M3/F3</f>
        <v>0.03219142088</v>
      </c>
      <c r="O3" s="31">
        <v>0.898</v>
      </c>
      <c r="P3" s="24"/>
      <c r="Q3" s="21">
        <f t="shared" ref="Q3:Q8" si="5">O3*F3</f>
        <v>402083720600</v>
      </c>
      <c r="R3" s="31">
        <v>0.37</v>
      </c>
      <c r="S3" s="21">
        <f t="shared" ref="S3:S14" si="6">Q3*R3</f>
        <v>148770976622</v>
      </c>
      <c r="T3" s="23">
        <f t="shared" ref="T3:T14" si="7">S3/F3</f>
        <v>0.33226</v>
      </c>
      <c r="U3" s="31">
        <v>0.505</v>
      </c>
      <c r="V3" s="21">
        <f t="shared" ref="V3:V14" si="8">F3/H3</f>
        <v>9955.975151</v>
      </c>
      <c r="W3" s="25">
        <f t="shared" ref="W3:W14" si="9">V3*(1-U3)</f>
        <v>4928.2077</v>
      </c>
      <c r="X3" s="3">
        <v>0.83</v>
      </c>
      <c r="Y3" s="3"/>
      <c r="Z3" s="41">
        <v>0.433</v>
      </c>
      <c r="AA3" s="3"/>
      <c r="AB3" s="26">
        <f t="shared" ref="AB3:AB14" si="10">X3-Z3</f>
        <v>0.397</v>
      </c>
      <c r="AC3" s="27">
        <f t="shared" ref="AC3:AF3" si="1">AC4+($AG3-$AG4)/4</f>
        <v>0.1428535415</v>
      </c>
      <c r="AD3" s="27">
        <f t="shared" si="1"/>
        <v>0.07285354149</v>
      </c>
      <c r="AE3" s="27">
        <f t="shared" si="1"/>
        <v>0.05275354149</v>
      </c>
      <c r="AF3" s="27">
        <f t="shared" si="1"/>
        <v>0.03285354149</v>
      </c>
      <c r="AG3" s="23">
        <f t="shared" ref="AG3:AG8" si="12">AG4*95%</f>
        <v>0.301314166</v>
      </c>
      <c r="AH3" s="39">
        <f t="shared" ref="AH3:AH14" si="13">AG3+J3+N3-T3</f>
        <v>0.006351113646</v>
      </c>
      <c r="AI3" s="29">
        <f t="shared" ref="AI3:AI14" si="14">W3*AB3</f>
        <v>1956.498457</v>
      </c>
      <c r="AJ3" s="30" t="str">
        <f t="shared" ref="AJ3:AJ14" si="15">IFS(
AI3&lt;=2500,"D-",
AI3&lt;=5000,"D",
AI3&lt;=10000,"D+",
AI3&lt;=12500,"C-",
AI3&lt;=15000,"C",
AI3&lt;=20000,"C+",
AI3&lt;=25000,"B-",
AI3&lt;=30000,"B",
AI3&lt;=35000,"B+",
AI3&lt;=40000,"A-",
AI3&lt;=50000,"A",
AI3&lt;=100000,"A+",
TRUE,"Out of range"
)
</f>
        <v>D-</v>
      </c>
      <c r="AK3" s="30" t="str">
        <f t="shared" ref="AK3:AK14" si="16">CONCAT(ROUND(AH3,2),AJ3)</f>
        <v>0.01D-</v>
      </c>
    </row>
    <row r="4">
      <c r="A4" s="1">
        <v>2020.0</v>
      </c>
      <c r="B4" s="21">
        <f>84.75*1000000000000</f>
        <v>84750000000000</v>
      </c>
      <c r="C4" s="24">
        <f t="shared" ref="C4:C13" si="17">(B4-B3)/B3</f>
        <v>-0.03363740023</v>
      </c>
      <c r="D4" s="22">
        <f>7.89*10^9</f>
        <v>7890000000</v>
      </c>
      <c r="E4" s="24">
        <f t="shared" ref="E4:E13" si="18">(D4-D3)/D3</f>
        <v>0.01024327785</v>
      </c>
      <c r="F4" s="21">
        <v>3.857405E11</v>
      </c>
      <c r="G4" s="24">
        <f t="shared" ref="G4:G13" si="19">(F4-F3)/F3</f>
        <v>-0.1385003887</v>
      </c>
      <c r="H4" s="32">
        <v>4.5191965E7</v>
      </c>
      <c r="I4" s="24">
        <f t="shared" ref="I4:I13" si="20">(H4-H3)/H3</f>
        <v>0.004858420404</v>
      </c>
      <c r="J4" s="23">
        <f t="shared" si="2"/>
        <v>0.004551510324</v>
      </c>
      <c r="K4" s="21">
        <v>5.245409E10</v>
      </c>
      <c r="L4" s="21">
        <v>6.405381E10</v>
      </c>
      <c r="M4" s="21">
        <f t="shared" si="3"/>
        <v>11599720000</v>
      </c>
      <c r="N4" s="23">
        <f t="shared" si="4"/>
        <v>0.03007130441</v>
      </c>
      <c r="O4" s="31">
        <v>1.038</v>
      </c>
      <c r="P4" s="24">
        <f t="shared" ref="P4:P13" si="21">(O4-O3)/O3</f>
        <v>0.1559020045</v>
      </c>
      <c r="Q4" s="21">
        <f t="shared" si="5"/>
        <v>400398639000</v>
      </c>
      <c r="R4" s="31">
        <v>0.21</v>
      </c>
      <c r="S4" s="21">
        <f t="shared" si="6"/>
        <v>84083714190</v>
      </c>
      <c r="T4" s="23">
        <f t="shared" si="7"/>
        <v>0.21798</v>
      </c>
      <c r="U4" s="31">
        <v>0.372</v>
      </c>
      <c r="V4" s="21">
        <f t="shared" si="8"/>
        <v>8535.599193</v>
      </c>
      <c r="W4" s="25">
        <f t="shared" si="9"/>
        <v>5360.356293</v>
      </c>
      <c r="X4" s="3">
        <v>0.85</v>
      </c>
      <c r="Y4" s="31">
        <f t="shared" ref="Y4:Y13" si="22">(X4-X3)/X3</f>
        <v>0.02409638554</v>
      </c>
      <c r="Z4" s="41">
        <v>0.42700000000000005</v>
      </c>
      <c r="AA4" s="31">
        <f t="shared" ref="AA4:AA13" si="23">(Z4-Z3)/Z4</f>
        <v>-0.01405152225</v>
      </c>
      <c r="AB4" s="26">
        <f t="shared" si="10"/>
        <v>0.423</v>
      </c>
      <c r="AC4" s="27">
        <f t="shared" ref="AC4:AF4" si="11">AC5+($AG4-$AG5)/4</f>
        <v>0.1468182016</v>
      </c>
      <c r="AD4" s="27">
        <f t="shared" si="11"/>
        <v>0.07681820157</v>
      </c>
      <c r="AE4" s="27">
        <f t="shared" si="11"/>
        <v>0.05671820157</v>
      </c>
      <c r="AF4" s="27">
        <f t="shared" si="11"/>
        <v>0.03681820157</v>
      </c>
      <c r="AG4" s="23">
        <f t="shared" si="12"/>
        <v>0.3171728063</v>
      </c>
      <c r="AH4" s="39">
        <f t="shared" si="13"/>
        <v>0.133815621</v>
      </c>
      <c r="AI4" s="29">
        <f t="shared" si="14"/>
        <v>2267.430712</v>
      </c>
      <c r="AJ4" s="30" t="str">
        <f t="shared" si="15"/>
        <v>D-</v>
      </c>
      <c r="AK4" s="30" t="str">
        <f t="shared" si="16"/>
        <v>0.13D-</v>
      </c>
    </row>
    <row r="5">
      <c r="A5" s="1">
        <v>2021.0</v>
      </c>
      <c r="B5" s="21">
        <f>96.14*1000000000000</f>
        <v>96140000000000</v>
      </c>
      <c r="C5" s="24">
        <f t="shared" si="17"/>
        <v>0.1343952802</v>
      </c>
      <c r="D5" s="22">
        <f>7.95*10^9</f>
        <v>7950000000</v>
      </c>
      <c r="E5" s="24">
        <f t="shared" si="18"/>
        <v>0.007604562738</v>
      </c>
      <c r="F5" s="21">
        <v>4.865641E11</v>
      </c>
      <c r="G5" s="24">
        <f t="shared" si="19"/>
        <v>0.2613767546</v>
      </c>
      <c r="H5" s="32">
        <v>4.5312281E7</v>
      </c>
      <c r="I5" s="24">
        <f t="shared" si="20"/>
        <v>0.002662331678</v>
      </c>
      <c r="J5" s="23">
        <f t="shared" si="2"/>
        <v>0.005060995423</v>
      </c>
      <c r="K5" s="21">
        <v>7.304291E10</v>
      </c>
      <c r="L5" s="21">
        <v>8.790612E10</v>
      </c>
      <c r="M5" s="21">
        <f t="shared" si="3"/>
        <v>14863210000</v>
      </c>
      <c r="N5" s="23">
        <f t="shared" si="4"/>
        <v>0.03054728041</v>
      </c>
      <c r="O5" s="31">
        <v>0.808</v>
      </c>
      <c r="P5" s="24">
        <f t="shared" si="21"/>
        <v>-0.2215799615</v>
      </c>
      <c r="Q5" s="21">
        <f t="shared" si="5"/>
        <v>393143792800</v>
      </c>
      <c r="R5" s="31">
        <v>0.36</v>
      </c>
      <c r="S5" s="21">
        <f t="shared" si="6"/>
        <v>141531765408</v>
      </c>
      <c r="T5" s="23">
        <f t="shared" si="7"/>
        <v>0.29088</v>
      </c>
      <c r="U5" s="31">
        <v>0.521</v>
      </c>
      <c r="V5" s="21">
        <f t="shared" si="8"/>
        <v>10738.01824</v>
      </c>
      <c r="W5" s="25">
        <f t="shared" si="9"/>
        <v>5143.510738</v>
      </c>
      <c r="X5" s="3">
        <v>0.84</v>
      </c>
      <c r="Y5" s="31">
        <f t="shared" si="22"/>
        <v>-0.01176470588</v>
      </c>
      <c r="Z5" s="41">
        <v>0.424</v>
      </c>
      <c r="AA5" s="31">
        <f t="shared" si="23"/>
        <v>-0.007075471698</v>
      </c>
      <c r="AB5" s="26">
        <f t="shared" si="10"/>
        <v>0.416</v>
      </c>
      <c r="AC5" s="27">
        <f t="shared" ref="AC5:AF5" si="24">AC6+($AG5-$AG6)/4</f>
        <v>0.150991528</v>
      </c>
      <c r="AD5" s="27">
        <f t="shared" si="24"/>
        <v>0.08099152797</v>
      </c>
      <c r="AE5" s="27">
        <f t="shared" si="24"/>
        <v>0.06089152797</v>
      </c>
      <c r="AF5" s="27">
        <f t="shared" si="24"/>
        <v>0.04099152797</v>
      </c>
      <c r="AG5" s="23">
        <f t="shared" si="12"/>
        <v>0.3338661119</v>
      </c>
      <c r="AH5" s="39">
        <f t="shared" si="13"/>
        <v>0.07859438771</v>
      </c>
      <c r="AI5" s="29">
        <f t="shared" si="14"/>
        <v>2139.700467</v>
      </c>
      <c r="AJ5" s="30" t="str">
        <f t="shared" si="15"/>
        <v>D-</v>
      </c>
      <c r="AK5" s="30" t="str">
        <f t="shared" si="16"/>
        <v>0.08D-</v>
      </c>
    </row>
    <row r="6">
      <c r="A6" s="1">
        <v>2022.0</v>
      </c>
      <c r="B6" s="21">
        <f>101.56*1000000000000</f>
        <v>101560000000000</v>
      </c>
      <c r="C6" s="24">
        <f t="shared" si="17"/>
        <v>0.05637611816</v>
      </c>
      <c r="D6" s="22">
        <f>8.02*10^9</f>
        <v>8020000000</v>
      </c>
      <c r="E6" s="24">
        <f t="shared" si="18"/>
        <v>0.008805031447</v>
      </c>
      <c r="F6" s="21">
        <v>6.339938E11</v>
      </c>
      <c r="G6" s="24">
        <f t="shared" si="19"/>
        <v>0.3030015984</v>
      </c>
      <c r="H6" s="32">
        <v>4.5407904E7</v>
      </c>
      <c r="I6" s="24">
        <f t="shared" si="20"/>
        <v>0.002110310889</v>
      </c>
      <c r="J6" s="23">
        <f t="shared" si="2"/>
        <v>0.006242554155</v>
      </c>
      <c r="K6" s="21">
        <v>9.699161E10</v>
      </c>
      <c r="L6" s="21">
        <v>1.032248E11</v>
      </c>
      <c r="M6" s="21">
        <f t="shared" si="3"/>
        <v>6233190000</v>
      </c>
      <c r="N6" s="23">
        <f t="shared" si="4"/>
        <v>0.009831626114</v>
      </c>
      <c r="O6" s="31">
        <v>0.85</v>
      </c>
      <c r="P6" s="24">
        <f t="shared" si="21"/>
        <v>0.05198019802</v>
      </c>
      <c r="Q6" s="21">
        <f t="shared" si="5"/>
        <v>538894730000</v>
      </c>
      <c r="R6" s="31">
        <v>0.37</v>
      </c>
      <c r="S6" s="21">
        <f t="shared" si="6"/>
        <v>199391050100</v>
      </c>
      <c r="T6" s="23">
        <f t="shared" si="7"/>
        <v>0.3145</v>
      </c>
      <c r="U6" s="31">
        <v>0.88</v>
      </c>
      <c r="V6" s="21">
        <f t="shared" si="8"/>
        <v>13962.19037</v>
      </c>
      <c r="W6" s="25">
        <f t="shared" si="9"/>
        <v>1675.462845</v>
      </c>
      <c r="X6" s="3">
        <v>0.85</v>
      </c>
      <c r="Y6" s="31">
        <f t="shared" si="22"/>
        <v>0.0119047619</v>
      </c>
      <c r="Z6" s="41">
        <v>0.40700000000000003</v>
      </c>
      <c r="AA6" s="31">
        <f t="shared" si="23"/>
        <v>-0.04176904177</v>
      </c>
      <c r="AB6" s="26">
        <f t="shared" si="10"/>
        <v>0.443</v>
      </c>
      <c r="AC6" s="27">
        <f t="shared" ref="AC6:AF6" si="25">AC7+($AG6-$AG7)/4</f>
        <v>0.1553845031</v>
      </c>
      <c r="AD6" s="27">
        <f t="shared" si="25"/>
        <v>0.08538450313</v>
      </c>
      <c r="AE6" s="27">
        <f t="shared" si="25"/>
        <v>0.06528450313</v>
      </c>
      <c r="AF6" s="27">
        <f t="shared" si="25"/>
        <v>0.04538450313</v>
      </c>
      <c r="AG6" s="23">
        <f t="shared" si="12"/>
        <v>0.3514380125</v>
      </c>
      <c r="AH6" s="39">
        <f t="shared" si="13"/>
        <v>0.05301219277</v>
      </c>
      <c r="AI6" s="29">
        <f t="shared" si="14"/>
        <v>742.2300401</v>
      </c>
      <c r="AJ6" s="30" t="str">
        <f t="shared" si="15"/>
        <v>D-</v>
      </c>
      <c r="AK6" s="30" t="str">
        <f t="shared" si="16"/>
        <v>0.05D-</v>
      </c>
    </row>
    <row r="7">
      <c r="A7" s="1">
        <v>2023.0</v>
      </c>
      <c r="B7" s="21">
        <f>106.8*1000000000000</f>
        <v>106800000000000</v>
      </c>
      <c r="C7" s="24">
        <f t="shared" si="17"/>
        <v>0.05159511619</v>
      </c>
      <c r="D7" s="32">
        <f>8.09*10^9</f>
        <v>8090000000</v>
      </c>
      <c r="E7" s="24">
        <f t="shared" si="18"/>
        <v>0.008728179551</v>
      </c>
      <c r="F7" s="21">
        <v>6.494617E11</v>
      </c>
      <c r="G7" s="24">
        <f t="shared" si="19"/>
        <v>0.0243975572</v>
      </c>
      <c r="H7" s="32">
        <v>4.5538401E7</v>
      </c>
      <c r="I7" s="24">
        <f t="shared" si="20"/>
        <v>0.002873882926</v>
      </c>
      <c r="J7" s="23">
        <f t="shared" si="2"/>
        <v>0.00608110206</v>
      </c>
      <c r="K7" s="21">
        <v>8.998057E10</v>
      </c>
      <c r="L7" s="21">
        <v>8.3276E10</v>
      </c>
      <c r="M7" s="21">
        <f t="shared" si="3"/>
        <v>-6704570000</v>
      </c>
      <c r="N7" s="23">
        <f t="shared" si="4"/>
        <v>-0.01032327233</v>
      </c>
      <c r="O7" s="31">
        <v>1.566</v>
      </c>
      <c r="P7" s="24">
        <f t="shared" si="21"/>
        <v>0.8423529412</v>
      </c>
      <c r="Q7" s="21">
        <f t="shared" si="5"/>
        <v>1017057022200</v>
      </c>
      <c r="R7" s="31">
        <v>0.71</v>
      </c>
      <c r="S7" s="21">
        <f t="shared" si="6"/>
        <v>722110485762</v>
      </c>
      <c r="T7" s="23">
        <f t="shared" si="7"/>
        <v>1.11186</v>
      </c>
      <c r="U7" s="31">
        <v>1.427</v>
      </c>
      <c r="V7" s="21">
        <f t="shared" si="8"/>
        <v>14261.84683</v>
      </c>
      <c r="W7" s="25">
        <f t="shared" si="9"/>
        <v>-6089.808597</v>
      </c>
      <c r="X7" s="43">
        <v>0.865</v>
      </c>
      <c r="Y7" s="31">
        <f t="shared" si="22"/>
        <v>0.01764705882</v>
      </c>
      <c r="Z7" s="41">
        <v>0.424</v>
      </c>
      <c r="AA7" s="31">
        <f t="shared" si="23"/>
        <v>0.04009433962</v>
      </c>
      <c r="AB7" s="26">
        <f t="shared" si="10"/>
        <v>0.441</v>
      </c>
      <c r="AC7" s="27">
        <f t="shared" ref="AC7:AF7" si="26">AC8+($AG7-$AG8)/4</f>
        <v>0.1600086875</v>
      </c>
      <c r="AD7" s="27">
        <f t="shared" si="26"/>
        <v>0.0900086875</v>
      </c>
      <c r="AE7" s="27">
        <f t="shared" si="26"/>
        <v>0.0699086875</v>
      </c>
      <c r="AF7" s="27">
        <f t="shared" si="26"/>
        <v>0.0500086875</v>
      </c>
      <c r="AG7" s="23">
        <f t="shared" si="12"/>
        <v>0.36993475</v>
      </c>
      <c r="AH7" s="39">
        <f t="shared" si="13"/>
        <v>-0.7461674203</v>
      </c>
      <c r="AI7" s="29">
        <f t="shared" si="14"/>
        <v>-2685.605591</v>
      </c>
      <c r="AJ7" s="30" t="str">
        <f t="shared" si="15"/>
        <v>D-</v>
      </c>
      <c r="AK7" s="30" t="str">
        <f t="shared" si="16"/>
        <v>-0.75D-</v>
      </c>
      <c r="AL7" s="3" t="s">
        <v>126</v>
      </c>
    </row>
    <row r="8">
      <c r="A8" s="1">
        <v>2024.0</v>
      </c>
      <c r="B8" s="21">
        <f>112.6*1000000000000</f>
        <v>112600000000000</v>
      </c>
      <c r="C8" s="24">
        <f t="shared" si="17"/>
        <v>0.0543071161</v>
      </c>
      <c r="D8" s="32">
        <v>8.161972572E9</v>
      </c>
      <c r="E8" s="24">
        <f t="shared" si="18"/>
        <v>0.008896486032</v>
      </c>
      <c r="F8" s="21">
        <v>6.383655E11</v>
      </c>
      <c r="G8" s="24">
        <f t="shared" si="19"/>
        <v>-0.01708522612</v>
      </c>
      <c r="H8" s="32">
        <v>4.5696159E7</v>
      </c>
      <c r="I8" s="24">
        <f t="shared" si="20"/>
        <v>0.003464285011</v>
      </c>
      <c r="J8" s="23">
        <f t="shared" si="2"/>
        <v>0.005669320604</v>
      </c>
      <c r="K8" s="21">
        <v>8.094482E10</v>
      </c>
      <c r="L8" s="21">
        <v>9.734913E10</v>
      </c>
      <c r="M8" s="21">
        <f t="shared" si="3"/>
        <v>16404310000</v>
      </c>
      <c r="N8" s="23">
        <f t="shared" si="4"/>
        <v>0.02569736303</v>
      </c>
      <c r="O8" s="31">
        <v>0.832</v>
      </c>
      <c r="P8" s="24">
        <f t="shared" si="21"/>
        <v>-0.4687100894</v>
      </c>
      <c r="Q8" s="21">
        <f t="shared" si="5"/>
        <v>531120096000</v>
      </c>
      <c r="R8" s="31">
        <v>1.0023</v>
      </c>
      <c r="S8" s="21">
        <f t="shared" si="6"/>
        <v>532341672221</v>
      </c>
      <c r="T8" s="23">
        <f t="shared" si="7"/>
        <v>0.8339136</v>
      </c>
      <c r="U8" s="31">
        <v>1.93</v>
      </c>
      <c r="V8" s="21">
        <f t="shared" si="8"/>
        <v>13969.78464</v>
      </c>
      <c r="W8" s="25">
        <f t="shared" si="9"/>
        <v>-12991.89971</v>
      </c>
      <c r="X8" s="43">
        <v>0.865</v>
      </c>
      <c r="Y8" s="31">
        <f t="shared" si="22"/>
        <v>0</v>
      </c>
      <c r="Z8" s="41">
        <v>0.424</v>
      </c>
      <c r="AA8" s="31">
        <f t="shared" si="23"/>
        <v>0</v>
      </c>
      <c r="AB8" s="26">
        <f t="shared" si="10"/>
        <v>0.441</v>
      </c>
      <c r="AC8" s="27">
        <f t="shared" ref="AC8:AF8" si="27">AC9+($AG8-$AG9)/4</f>
        <v>0.16487625</v>
      </c>
      <c r="AD8" s="27">
        <f t="shared" si="27"/>
        <v>0.09487625</v>
      </c>
      <c r="AE8" s="27">
        <f t="shared" si="27"/>
        <v>0.07477625</v>
      </c>
      <c r="AF8" s="27">
        <f t="shared" si="27"/>
        <v>0.05487625</v>
      </c>
      <c r="AG8" s="23">
        <f t="shared" si="12"/>
        <v>0.389405</v>
      </c>
      <c r="AH8" s="39">
        <f t="shared" si="13"/>
        <v>-0.4131419164</v>
      </c>
      <c r="AI8" s="29">
        <f t="shared" si="14"/>
        <v>-5729.427773</v>
      </c>
      <c r="AJ8" s="30" t="str">
        <f t="shared" si="15"/>
        <v>D-</v>
      </c>
      <c r="AK8" s="30" t="str">
        <f t="shared" si="16"/>
        <v>-0.41D-</v>
      </c>
      <c r="AL8" s="3" t="s">
        <v>127</v>
      </c>
    </row>
    <row r="9">
      <c r="A9" s="1">
        <v>2025.0</v>
      </c>
      <c r="B9" s="33">
        <v>1.13795678E14</v>
      </c>
      <c r="C9" s="24">
        <f t="shared" si="17"/>
        <v>0.01061880995</v>
      </c>
      <c r="D9" s="32">
        <v>8.23161307E9</v>
      </c>
      <c r="E9" s="24">
        <f t="shared" si="18"/>
        <v>0.008532312181</v>
      </c>
      <c r="F9" s="33">
        <v>6.83533E11</v>
      </c>
      <c r="G9" s="24">
        <f t="shared" si="19"/>
        <v>0.07075492018</v>
      </c>
      <c r="H9" s="32">
        <v>4.67E7</v>
      </c>
      <c r="I9" s="24">
        <f t="shared" si="20"/>
        <v>0.02196773256</v>
      </c>
      <c r="J9" s="23">
        <f t="shared" si="2"/>
        <v>0.006006669252</v>
      </c>
      <c r="K9" s="33">
        <f>141000000000/2</f>
        <v>70500000000</v>
      </c>
      <c r="L9" s="21">
        <f t="shared" ref="L9:L14" si="28">K9+M9</f>
        <v>89500000000</v>
      </c>
      <c r="M9" s="33">
        <v>1.9E10</v>
      </c>
      <c r="N9" s="23">
        <f t="shared" si="4"/>
        <v>0.02779675597</v>
      </c>
      <c r="O9" s="24">
        <f>Q9/F9</f>
        <v>0.7806499467</v>
      </c>
      <c r="P9" s="24">
        <f t="shared" si="21"/>
        <v>-0.06171881409</v>
      </c>
      <c r="Q9" s="33">
        <v>5.336E11</v>
      </c>
      <c r="R9" s="31">
        <v>0.29</v>
      </c>
      <c r="S9" s="21">
        <f t="shared" si="6"/>
        <v>154744000000</v>
      </c>
      <c r="T9" s="23">
        <f t="shared" si="7"/>
        <v>0.2263884845</v>
      </c>
      <c r="U9" s="31">
        <v>0.318</v>
      </c>
      <c r="V9" s="21">
        <f t="shared" si="8"/>
        <v>14636.68094</v>
      </c>
      <c r="W9" s="25">
        <f t="shared" si="9"/>
        <v>9982.216403</v>
      </c>
      <c r="X9" s="43">
        <v>0.865</v>
      </c>
      <c r="Y9" s="31">
        <f t="shared" si="22"/>
        <v>0</v>
      </c>
      <c r="Z9" s="41">
        <v>0.4</v>
      </c>
      <c r="AA9" s="31">
        <f t="shared" si="23"/>
        <v>-0.06</v>
      </c>
      <c r="AB9" s="26">
        <f t="shared" si="10"/>
        <v>0.465</v>
      </c>
      <c r="AC9" s="31">
        <v>0.17</v>
      </c>
      <c r="AD9" s="31">
        <v>0.1</v>
      </c>
      <c r="AE9" s="31">
        <v>0.0799</v>
      </c>
      <c r="AF9" s="31">
        <v>0.06</v>
      </c>
      <c r="AG9" s="23">
        <f>SUM(AC9:AF9)</f>
        <v>0.4099</v>
      </c>
      <c r="AH9" s="39">
        <f t="shared" si="13"/>
        <v>0.2173149407</v>
      </c>
      <c r="AI9" s="29">
        <f t="shared" si="14"/>
        <v>4641.730627</v>
      </c>
      <c r="AJ9" s="30" t="str">
        <f t="shared" si="15"/>
        <v>D</v>
      </c>
      <c r="AK9" s="30" t="str">
        <f t="shared" si="16"/>
        <v>0.22D</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749107179700</v>
      </c>
      <c r="G10" s="24">
        <f t="shared" si="19"/>
        <v>0.09593418269</v>
      </c>
      <c r="H10" s="22">
        <f>AVERAGE(FORECAST(A10,H3:H9,$A$3:$A$9),H9*(AVERAGE(I4:I9)+1))</f>
        <v>46728658.59</v>
      </c>
      <c r="I10" s="24">
        <f t="shared" si="20"/>
        <v>0.0006136742526</v>
      </c>
      <c r="J10" s="35">
        <f t="shared" si="2"/>
        <v>0.006239242093</v>
      </c>
      <c r="K10" s="36">
        <f>FORECAST(A10,K3:K9,A3:A9)</f>
        <v>88234554286</v>
      </c>
      <c r="L10" s="36">
        <f t="shared" si="28"/>
        <v>99321631429</v>
      </c>
      <c r="M10" s="21">
        <f>FORECAST(A10,M3:M9,$A$3:$A$9)</f>
        <v>11087077143</v>
      </c>
      <c r="N10" s="24">
        <f t="shared" si="4"/>
        <v>0.01480038831</v>
      </c>
      <c r="O10" s="24">
        <f>AVERAGE(FORECAST(A10,O3:O9,$A$3:$A$9),O9*(AVERAGE(P4:P9)+1))</f>
        <v>0.8930543902</v>
      </c>
      <c r="P10" s="24">
        <f t="shared" si="21"/>
        <v>0.1439882806</v>
      </c>
      <c r="Q10" s="21">
        <f t="shared" ref="Q10:Q14" si="30">O10*F10</f>
        <v>668993455593</v>
      </c>
      <c r="R10" s="24">
        <f t="shared" ref="R10:R14" si="31">R9*1.05</f>
        <v>0.3045</v>
      </c>
      <c r="S10" s="21">
        <f t="shared" si="6"/>
        <v>203708507228</v>
      </c>
      <c r="T10" s="24">
        <f t="shared" si="7"/>
        <v>0.2719350618</v>
      </c>
      <c r="U10" s="31">
        <f t="shared" ref="U10:U14" si="32">U9*1.05</f>
        <v>0.3339</v>
      </c>
      <c r="V10" s="21">
        <f t="shared" si="8"/>
        <v>16031.00115</v>
      </c>
      <c r="W10" s="21">
        <f t="shared" si="9"/>
        <v>10678.24987</v>
      </c>
      <c r="X10" s="37">
        <f>AVERAGE(FORECAST(A10,X3:X9,$A$3:$A$9),X9*(AVERAGE(Y4:Y9)+1))</f>
        <v>0.8730191023</v>
      </c>
      <c r="Y10" s="31">
        <f t="shared" si="22"/>
        <v>0.00927063852</v>
      </c>
      <c r="Z10" s="38">
        <f>AVERAGE(FORECAST(A10,Z3:Z9,$A$3:$A$9),Z9*(AVERAGE(AA4:AA9)+1))</f>
        <v>0.3996685149</v>
      </c>
      <c r="AA10" s="31">
        <f t="shared" si="23"/>
        <v>-0.0008294001041</v>
      </c>
      <c r="AB10" s="37">
        <f t="shared" si="10"/>
        <v>0.4733505874</v>
      </c>
      <c r="AC10" s="27">
        <f t="shared" ref="AC10:AF10" si="29">AC9+($AG10-$AG9)/4</f>
        <v>0.17512375</v>
      </c>
      <c r="AD10" s="27">
        <f t="shared" si="29"/>
        <v>0.10512375</v>
      </c>
      <c r="AE10" s="27">
        <f t="shared" si="29"/>
        <v>0.08502375</v>
      </c>
      <c r="AF10" s="27">
        <f t="shared" si="29"/>
        <v>0.06512375</v>
      </c>
      <c r="AG10" s="24">
        <f t="shared" ref="AG10:AG14" si="34">AG9*1.05</f>
        <v>0.430395</v>
      </c>
      <c r="AH10" s="38">
        <f t="shared" si="13"/>
        <v>0.1794995686</v>
      </c>
      <c r="AI10" s="21">
        <f t="shared" si="14"/>
        <v>5054.555848</v>
      </c>
      <c r="AJ10" s="30" t="str">
        <f t="shared" si="15"/>
        <v>D+</v>
      </c>
      <c r="AK10" s="30" t="str">
        <f t="shared" si="16"/>
        <v>0.18D+</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807808419712</v>
      </c>
      <c r="G11" s="24">
        <f t="shared" si="19"/>
        <v>0.07836160379</v>
      </c>
      <c r="H11" s="22">
        <f>AVERAGE(FORECAST($A11,H3:H10,$A3:$A10),H10*(AVERAGE(I4:I10)+1))</f>
        <v>46905214.79</v>
      </c>
      <c r="I11" s="24">
        <f t="shared" si="20"/>
        <v>0.003778327991</v>
      </c>
      <c r="J11" s="35">
        <f t="shared" si="2"/>
        <v>0.006424662491</v>
      </c>
      <c r="K11" s="36">
        <f>FORECAST(A11,K3:K10,A3:A10)</f>
        <v>91373206429</v>
      </c>
      <c r="L11" s="21">
        <f t="shared" si="28"/>
        <v>102524562857</v>
      </c>
      <c r="M11" s="21">
        <f>FORECAST($A11,M3:M10,$A3:$A10)</f>
        <v>11151356429</v>
      </c>
      <c r="N11" s="24">
        <f t="shared" si="4"/>
        <v>0.0138044568</v>
      </c>
      <c r="O11" s="24">
        <f>AVERAGE(FORECAST($A11,O3:O10,$A3:$A10),O10*(AVERAGE(P4:P10)+1))</f>
        <v>0.9395557218</v>
      </c>
      <c r="P11" s="24">
        <f t="shared" si="21"/>
        <v>0.05206998814</v>
      </c>
      <c r="Q11" s="21">
        <f t="shared" si="30"/>
        <v>758981022819</v>
      </c>
      <c r="R11" s="24">
        <f t="shared" si="31"/>
        <v>0.319725</v>
      </c>
      <c r="S11" s="21">
        <f t="shared" si="6"/>
        <v>242665207521</v>
      </c>
      <c r="T11" s="24">
        <f t="shared" si="7"/>
        <v>0.3003994531</v>
      </c>
      <c r="U11" s="31">
        <f t="shared" si="32"/>
        <v>0.350595</v>
      </c>
      <c r="V11" s="21">
        <f t="shared" si="8"/>
        <v>17222.1452</v>
      </c>
      <c r="W11" s="21">
        <f t="shared" si="9"/>
        <v>11184.1472</v>
      </c>
      <c r="X11" s="37">
        <f>AVERAGE(FORECAST($A11,X3:X10,$A3:$A10),X10*(AVERAGE(Y4:Y10)+1))</f>
        <v>0.8795613653</v>
      </c>
      <c r="Y11" s="31">
        <f t="shared" si="22"/>
        <v>0.007493837196</v>
      </c>
      <c r="Z11" s="38">
        <f>AVERAGE(FORECAST($A11,Z3:Z10,$A3:$A10),Z10*(AVERAGE(AA4:AA10)+1))</f>
        <v>0.3967031922</v>
      </c>
      <c r="AA11" s="31">
        <f t="shared" si="23"/>
        <v>-0.007474915208</v>
      </c>
      <c r="AB11" s="37">
        <f t="shared" si="10"/>
        <v>0.4828581732</v>
      </c>
      <c r="AC11" s="27">
        <f t="shared" ref="AC11:AF11" si="33">AC10+($AG11-$AG10)/4</f>
        <v>0.1805036875</v>
      </c>
      <c r="AD11" s="27">
        <f t="shared" si="33"/>
        <v>0.1105036875</v>
      </c>
      <c r="AE11" s="27">
        <f t="shared" si="33"/>
        <v>0.0904036875</v>
      </c>
      <c r="AF11" s="27">
        <f t="shared" si="33"/>
        <v>0.0705036875</v>
      </c>
      <c r="AG11" s="24">
        <f t="shared" si="34"/>
        <v>0.45191475</v>
      </c>
      <c r="AH11" s="38">
        <f t="shared" si="13"/>
        <v>0.1717444161</v>
      </c>
      <c r="AI11" s="21">
        <f t="shared" si="14"/>
        <v>5400.356887</v>
      </c>
      <c r="AJ11" s="30" t="str">
        <f t="shared" si="15"/>
        <v>D+</v>
      </c>
      <c r="AK11" s="30" t="str">
        <f t="shared" si="16"/>
        <v>0.17D+</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864747104515</v>
      </c>
      <c r="G12" s="24">
        <f t="shared" si="19"/>
        <v>0.0704853817</v>
      </c>
      <c r="H12" s="22">
        <f>AVERAGE(FORECAST($A12,H3:H11,$A3:$A11),H11*(AVERAGE(I4:I11)+1))</f>
        <v>47132510.64</v>
      </c>
      <c r="I12" s="24">
        <f t="shared" si="20"/>
        <v>0.004845854653</v>
      </c>
      <c r="J12" s="35">
        <f t="shared" si="2"/>
        <v>0.006589179808</v>
      </c>
      <c r="K12" s="36">
        <f>FORECAST(A12,K3:K11,A3:A11)</f>
        <v>94511858571</v>
      </c>
      <c r="L12" s="21">
        <f t="shared" si="28"/>
        <v>105727494286</v>
      </c>
      <c r="M12" s="21">
        <f t="shared" ref="M12:M14" si="36">FORECAST($A12,M3:M11,$A3:$A11)</f>
        <v>11215635714</v>
      </c>
      <c r="N12" s="24">
        <f t="shared" si="4"/>
        <v>0.01296984477</v>
      </c>
      <c r="O12" s="24">
        <f>AVERAGE(FORECAST($A12,O3:O11,$A3:$A11),O11*(AVERAGE(P4:P11)+1))</f>
        <v>0.9626519376</v>
      </c>
      <c r="P12" s="24">
        <f t="shared" si="21"/>
        <v>0.02458206077</v>
      </c>
      <c r="Q12" s="21">
        <f t="shared" si="30"/>
        <v>832450475694</v>
      </c>
      <c r="R12" s="24">
        <f t="shared" si="31"/>
        <v>0.33571125</v>
      </c>
      <c r="S12" s="21">
        <f t="shared" si="6"/>
        <v>279462989758</v>
      </c>
      <c r="T12" s="24">
        <f t="shared" si="7"/>
        <v>0.3231730853</v>
      </c>
      <c r="U12" s="31">
        <f t="shared" si="32"/>
        <v>0.36812475</v>
      </c>
      <c r="V12" s="21">
        <f t="shared" si="8"/>
        <v>18347.14707</v>
      </c>
      <c r="W12" s="21">
        <f t="shared" si="9"/>
        <v>11593.10814</v>
      </c>
      <c r="X12" s="37">
        <f>AVERAGE(FORECAST($A12,X3:X11,$A3:$A11),X11*(AVERAGE(Y4:Y11)+1))</f>
        <v>0.8856051326</v>
      </c>
      <c r="Y12" s="31">
        <f t="shared" si="22"/>
        <v>0.006871342403</v>
      </c>
      <c r="Z12" s="37">
        <f>AVERAGE(FORECAST($A12,Z3:Z11,$A3:$A11),Z11*(AVERAGE(AA4:AA11)+1))</f>
        <v>0.3928557984</v>
      </c>
      <c r="AA12" s="31">
        <f t="shared" si="23"/>
        <v>-0.009793399593</v>
      </c>
      <c r="AB12" s="37">
        <f t="shared" si="10"/>
        <v>0.4927493343</v>
      </c>
      <c r="AC12" s="27">
        <f t="shared" ref="AC12:AF12" si="35">AC11+($AG12-$AG11)/4</f>
        <v>0.1861526219</v>
      </c>
      <c r="AD12" s="27">
        <f t="shared" si="35"/>
        <v>0.1161526219</v>
      </c>
      <c r="AE12" s="27">
        <f t="shared" si="35"/>
        <v>0.09605262188</v>
      </c>
      <c r="AF12" s="27">
        <f t="shared" si="35"/>
        <v>0.07615262188</v>
      </c>
      <c r="AG12" s="24">
        <f t="shared" si="34"/>
        <v>0.4745104875</v>
      </c>
      <c r="AH12" s="38">
        <f t="shared" si="13"/>
        <v>0.1708964268</v>
      </c>
      <c r="AI12" s="21">
        <f t="shared" si="14"/>
        <v>5712.496319</v>
      </c>
      <c r="AJ12" s="30" t="str">
        <f t="shared" si="15"/>
        <v>D+</v>
      </c>
      <c r="AK12" s="30" t="str">
        <f t="shared" si="16"/>
        <v>0.17D+</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921658026647</v>
      </c>
      <c r="G13" s="24">
        <f t="shared" si="19"/>
        <v>0.06581221473</v>
      </c>
      <c r="H13" s="22">
        <f>AVERAGE(FORECAST($A13,H3:H12,$A3:$A12),H12*(AVERAGE(I4:I12)+1))</f>
        <v>47378110.81</v>
      </c>
      <c r="I13" s="24">
        <f t="shared" si="20"/>
        <v>0.00521084418</v>
      </c>
      <c r="J13" s="35">
        <f t="shared" si="2"/>
        <v>0.006741579328</v>
      </c>
      <c r="K13" s="36">
        <f>FORECAST(A13,K3:K12,A3:A12)</f>
        <v>97650510714</v>
      </c>
      <c r="L13" s="21">
        <f t="shared" si="28"/>
        <v>110084428948</v>
      </c>
      <c r="M13" s="21">
        <f t="shared" si="36"/>
        <v>12433918234</v>
      </c>
      <c r="N13" s="24">
        <f t="shared" si="4"/>
        <v>0.01349081533</v>
      </c>
      <c r="O13" s="24">
        <f>AVERAGE(FORECAST($A13,O3:O12,$A3:$A12),O12*(AVERAGE(P4:P12)+1))</f>
        <v>0.9770705536</v>
      </c>
      <c r="P13" s="24">
        <f t="shared" si="21"/>
        <v>0.0149780159</v>
      </c>
      <c r="Q13" s="21">
        <f t="shared" si="30"/>
        <v>900524918353</v>
      </c>
      <c r="R13" s="24">
        <f t="shared" si="31"/>
        <v>0.3524968125</v>
      </c>
      <c r="S13" s="21">
        <f t="shared" si="6"/>
        <v>317432163296</v>
      </c>
      <c r="T13" s="24">
        <f t="shared" si="7"/>
        <v>0.3444142557</v>
      </c>
      <c r="U13" s="31">
        <f t="shared" si="32"/>
        <v>0.3865309875</v>
      </c>
      <c r="V13" s="21">
        <f t="shared" si="8"/>
        <v>19453.24562</v>
      </c>
      <c r="W13" s="21">
        <f t="shared" si="9"/>
        <v>11933.96338</v>
      </c>
      <c r="X13" s="37">
        <f>AVERAGE(FORECAST($A13,X3:X12,$A3:$A12),X12*(AVERAGE(Y4:Y12)+1))</f>
        <v>0.8914766032</v>
      </c>
      <c r="Y13" s="31">
        <f t="shared" si="22"/>
        <v>0.006629896714</v>
      </c>
      <c r="Z13" s="37">
        <f>AVERAGE(FORECAST($A13,Z3:Z12,$A3:$A12),Z12*(AVERAGE(AA4:AA12)+1))</f>
        <v>0.3887032307</v>
      </c>
      <c r="AA13" s="31">
        <f t="shared" si="23"/>
        <v>-0.01068313127</v>
      </c>
      <c r="AB13" s="37">
        <f t="shared" si="10"/>
        <v>0.5027733725</v>
      </c>
      <c r="AC13" s="27">
        <f t="shared" ref="AC13:AF13" si="37">AC12+($AG13-$AG12)/4</f>
        <v>0.192084003</v>
      </c>
      <c r="AD13" s="27">
        <f t="shared" si="37"/>
        <v>0.122084003</v>
      </c>
      <c r="AE13" s="27">
        <f t="shared" si="37"/>
        <v>0.101984003</v>
      </c>
      <c r="AF13" s="27">
        <f t="shared" si="37"/>
        <v>0.08208400297</v>
      </c>
      <c r="AG13" s="24">
        <f t="shared" si="34"/>
        <v>0.4982360119</v>
      </c>
      <c r="AH13" s="38">
        <f t="shared" si="13"/>
        <v>0.1740541508</v>
      </c>
      <c r="AI13" s="21">
        <f t="shared" si="14"/>
        <v>6000.079017</v>
      </c>
      <c r="AJ13" s="30" t="str">
        <f t="shared" si="15"/>
        <v>D+</v>
      </c>
      <c r="AK13" s="30" t="str">
        <f t="shared" si="16"/>
        <v>0.17D+</v>
      </c>
    </row>
    <row r="14">
      <c r="A14" s="34">
        <v>2030.0</v>
      </c>
      <c r="B14" s="21">
        <f>AVERAGE(FORECAST($A14,B5:B13,$A5:$A13),B13*(AVERAGE(C6:C13)+1))</f>
        <v>141834754671550</v>
      </c>
      <c r="C14" s="24"/>
      <c r="D14" s="22">
        <f>AVERAGE(FORECAST($A14,D5:D13,$A5:$A13),D13*(AVERAGE(E6:E13)+1))</f>
        <v>8586617399</v>
      </c>
      <c r="E14" s="24"/>
      <c r="F14" s="21">
        <f>AVERAGE(FORECAST($A14,F5:F13,$A5:$A13),F13*(AVERAGE(G6:G13)+1))</f>
        <v>977354148846</v>
      </c>
      <c r="H14" s="22">
        <f>AVERAGE(FORECAST($A14,H5:H13,$A5:$A13),H13*(AVERAGE(I6:I13)+1))</f>
        <v>47694222.42</v>
      </c>
      <c r="J14" s="35">
        <f t="shared" si="2"/>
        <v>0.00689079451</v>
      </c>
      <c r="K14" s="36">
        <f>FORECAST(A14,K3:K13,A3:A13)</f>
        <v>100789162857</v>
      </c>
      <c r="L14" s="21">
        <f t="shared" si="28"/>
        <v>114389465088</v>
      </c>
      <c r="M14" s="21">
        <f t="shared" si="36"/>
        <v>13600302231</v>
      </c>
      <c r="N14" s="24">
        <f t="shared" si="4"/>
        <v>0.01391542896</v>
      </c>
      <c r="O14" s="24">
        <f>AVERAGE(FORECAST($A14,O3:O13,$A3:$A13),O13*(AVERAGE(P4:P13)+1))</f>
        <v>0.9881888516</v>
      </c>
      <c r="Q14" s="21">
        <f t="shared" si="30"/>
        <v>965810473948</v>
      </c>
      <c r="R14" s="24">
        <f t="shared" si="31"/>
        <v>0.3701216531</v>
      </c>
      <c r="S14" s="21">
        <f t="shared" si="6"/>
        <v>357467369223</v>
      </c>
      <c r="T14" s="24">
        <f t="shared" si="7"/>
        <v>0.3657500914</v>
      </c>
      <c r="U14" s="31">
        <f t="shared" si="32"/>
        <v>0.4058575369</v>
      </c>
      <c r="V14" s="21">
        <f t="shared" si="8"/>
        <v>20492.08687</v>
      </c>
      <c r="W14" s="21">
        <f t="shared" si="9"/>
        <v>12175.21897</v>
      </c>
      <c r="X14" s="37">
        <f>AVERAGE(FORECAST($A14,X3:X13,$A3:$A13),X13*(AVERAGE(Y4:Y13)+1))</f>
        <v>0.897289619</v>
      </c>
      <c r="Z14" s="37">
        <f>AVERAGE(FORECAST($A14,Z3:Z13,$A3:$A13),Z13*(AVERAGE(AA4:AA13)+1))</f>
        <v>0.3844449137</v>
      </c>
      <c r="AB14" s="37">
        <f t="shared" si="10"/>
        <v>0.5128447053</v>
      </c>
      <c r="AC14" s="27">
        <f t="shared" ref="AC14:AF14" si="38">AC13+($AG14-$AG13)/4</f>
        <v>0.1983119531</v>
      </c>
      <c r="AD14" s="27">
        <f t="shared" si="38"/>
        <v>0.1283119531</v>
      </c>
      <c r="AE14" s="27">
        <f t="shared" si="38"/>
        <v>0.1082119531</v>
      </c>
      <c r="AF14" s="27">
        <f t="shared" si="38"/>
        <v>0.08831195312</v>
      </c>
      <c r="AG14" s="24">
        <f t="shared" si="34"/>
        <v>0.5231478125</v>
      </c>
      <c r="AH14" s="38">
        <f t="shared" si="13"/>
        <v>0.1782039446</v>
      </c>
      <c r="AI14" s="21">
        <f t="shared" si="14"/>
        <v>6243.996583</v>
      </c>
      <c r="AJ14" s="30" t="str">
        <f t="shared" si="15"/>
        <v>D+</v>
      </c>
      <c r="AK14" s="30" t="str">
        <f t="shared" si="16"/>
        <v>0.18D+</v>
      </c>
    </row>
    <row r="15">
      <c r="C15" s="45"/>
      <c r="D15" s="45"/>
      <c r="E15" s="45"/>
      <c r="F15" s="45"/>
      <c r="G15" s="45"/>
      <c r="H15" s="45"/>
      <c r="I15" s="45"/>
      <c r="J15" s="45"/>
      <c r="K15" s="45"/>
      <c r="L15" s="45"/>
      <c r="M15" s="45"/>
    </row>
    <row r="16">
      <c r="C16" s="45"/>
      <c r="D16" s="45"/>
      <c r="E16" s="45"/>
      <c r="F16" s="45"/>
      <c r="G16" s="45"/>
      <c r="H16" s="45"/>
      <c r="I16" s="47"/>
      <c r="J16" s="47"/>
      <c r="K16" s="47"/>
      <c r="L16" s="45"/>
      <c r="M16" s="45"/>
    </row>
    <row r="17">
      <c r="C17" s="45"/>
      <c r="D17" s="45"/>
      <c r="I17" s="46"/>
      <c r="J17" s="46"/>
      <c r="K17" s="46"/>
    </row>
    <row r="18">
      <c r="C18" s="45"/>
      <c r="D18" s="45"/>
      <c r="I18" s="46"/>
      <c r="J18" s="46"/>
      <c r="K18" s="46"/>
    </row>
    <row r="19">
      <c r="C19" s="45"/>
      <c r="D19" s="45"/>
      <c r="I19" s="46"/>
      <c r="J19" s="46"/>
      <c r="K19" s="46"/>
    </row>
    <row r="20">
      <c r="C20" s="45"/>
      <c r="D20" s="45"/>
      <c r="I20" s="46"/>
      <c r="J20" s="46"/>
      <c r="K20" s="46"/>
    </row>
    <row r="21">
      <c r="C21" s="45"/>
      <c r="D21" s="45"/>
      <c r="I21" s="46"/>
      <c r="J21" s="46"/>
      <c r="K21" s="46"/>
    </row>
    <row r="22">
      <c r="D22" s="45"/>
      <c r="I22" s="46"/>
      <c r="J22" s="46"/>
      <c r="K22" s="46"/>
    </row>
  </sheetData>
  <mergeCells count="1">
    <mergeCell ref="B1:AK1"/>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A72E"/>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17.5"/>
    <col customWidth="1" min="4" max="4" width="15.25"/>
    <col customWidth="1" min="5" max="5" width="22.5"/>
    <col customWidth="1" min="6" max="6" width="16.75"/>
    <col customWidth="1" min="7" max="7" width="15.88"/>
    <col customWidth="1" min="8" max="8" width="16.5"/>
    <col customWidth="1" min="9" max="9" width="21.0"/>
    <col customWidth="1" min="11" max="12" width="15.88"/>
    <col customWidth="1" min="13" max="13" width="15.0"/>
    <col customWidth="1" min="14" max="14" width="18.38"/>
    <col customWidth="1" min="16" max="16" width="18.5"/>
    <col customWidth="1" min="17" max="17" width="16.75"/>
    <col customWidth="1" min="19" max="19" width="14.38"/>
    <col customWidth="1" min="20" max="20" width="20.5"/>
    <col customWidth="1" min="35" max="35" width="19.88"/>
    <col customWidth="1" min="36" max="36" width="16.88"/>
  </cols>
  <sheetData>
    <row r="1">
      <c r="A1" s="1" t="s">
        <v>88</v>
      </c>
      <c r="B1" s="18" t="s">
        <v>120</v>
      </c>
      <c r="AL1" s="18"/>
      <c r="AM1" s="18"/>
      <c r="AN1" s="18"/>
      <c r="AO1" s="18"/>
      <c r="AP1" s="18"/>
      <c r="AQ1" s="18"/>
    </row>
    <row r="2">
      <c r="A2" s="1" t="s">
        <v>90</v>
      </c>
      <c r="B2" s="1" t="s">
        <v>20</v>
      </c>
      <c r="C2" s="1" t="s">
        <v>91</v>
      </c>
      <c r="D2" s="1" t="s">
        <v>92</v>
      </c>
      <c r="E2" s="1" t="s">
        <v>93</v>
      </c>
      <c r="F2" s="1" t="s">
        <v>19</v>
      </c>
      <c r="G2" s="1" t="s">
        <v>94</v>
      </c>
      <c r="H2" s="1" t="s">
        <v>95</v>
      </c>
      <c r="I2" s="1" t="s">
        <v>96</v>
      </c>
      <c r="J2" s="19" t="s">
        <v>97</v>
      </c>
      <c r="K2" s="1" t="s">
        <v>98</v>
      </c>
      <c r="L2" s="1" t="s">
        <v>99</v>
      </c>
      <c r="M2" s="1" t="s">
        <v>100</v>
      </c>
      <c r="N2" s="19" t="s">
        <v>102</v>
      </c>
      <c r="O2" s="1" t="s">
        <v>103</v>
      </c>
      <c r="P2" s="1" t="s">
        <v>104</v>
      </c>
      <c r="Q2" s="1" t="s">
        <v>105</v>
      </c>
      <c r="R2" s="1" t="s">
        <v>106</v>
      </c>
      <c r="S2" s="1" t="s">
        <v>107</v>
      </c>
      <c r="T2" s="19" t="s">
        <v>108</v>
      </c>
      <c r="U2" s="1" t="s">
        <v>25</v>
      </c>
      <c r="V2" s="1" t="s">
        <v>109</v>
      </c>
      <c r="W2" s="19" t="s">
        <v>5</v>
      </c>
      <c r="X2" s="1" t="s">
        <v>29</v>
      </c>
      <c r="Y2" s="1" t="s">
        <v>110</v>
      </c>
      <c r="Z2" s="1" t="s">
        <v>30</v>
      </c>
      <c r="AA2" s="1" t="s">
        <v>111</v>
      </c>
      <c r="AB2" s="19" t="s">
        <v>9</v>
      </c>
      <c r="AC2" s="1" t="s">
        <v>112</v>
      </c>
      <c r="AD2" s="1" t="s">
        <v>113</v>
      </c>
      <c r="AE2" s="1" t="s">
        <v>114</v>
      </c>
      <c r="AF2" s="1" t="s">
        <v>115</v>
      </c>
      <c r="AG2" s="19" t="s">
        <v>116</v>
      </c>
      <c r="AH2" s="20" t="s">
        <v>117</v>
      </c>
      <c r="AI2" s="20" t="s">
        <v>2</v>
      </c>
      <c r="AJ2" s="1" t="s">
        <v>118</v>
      </c>
      <c r="AK2" s="1" t="s">
        <v>119</v>
      </c>
      <c r="AL2" s="1"/>
      <c r="AM2" s="1"/>
      <c r="AN2" s="1"/>
      <c r="AO2" s="1"/>
      <c r="AP2" s="1"/>
      <c r="AQ2" s="1"/>
    </row>
    <row r="3">
      <c r="A3" s="1">
        <v>2019.0</v>
      </c>
      <c r="B3" s="21">
        <f>87.7*1000000000000</f>
        <v>87700000000000</v>
      </c>
      <c r="C3" s="21"/>
      <c r="D3" s="22">
        <f>7.81*10^9</f>
        <v>7810000000</v>
      </c>
      <c r="E3" s="22"/>
      <c r="F3" s="21">
        <v>3.8933E11</v>
      </c>
      <c r="G3" s="21"/>
      <c r="H3" s="32">
        <v>5.9587885E7</v>
      </c>
      <c r="I3" s="22"/>
      <c r="J3" s="23">
        <f t="shared" ref="J3:J14" si="2">F3/B3</f>
        <v>0.004439338655</v>
      </c>
      <c r="K3" s="21">
        <v>1.03935E11</v>
      </c>
      <c r="L3" s="21">
        <v>1.059061E11</v>
      </c>
      <c r="M3" s="21">
        <f t="shared" ref="M3:M8" si="3">L3-K3</f>
        <v>1971100000</v>
      </c>
      <c r="N3" s="23">
        <f t="shared" ref="N3:N14" si="4">M3/F3</f>
        <v>0.005062800195</v>
      </c>
      <c r="O3" s="31">
        <v>0.6458927799999999</v>
      </c>
      <c r="P3" s="24"/>
      <c r="Q3" s="21">
        <f t="shared" ref="Q3:Q8" si="5">O3*F3</f>
        <v>251465436037</v>
      </c>
      <c r="R3" s="31">
        <v>0.05268416</v>
      </c>
      <c r="S3" s="21">
        <f t="shared" ref="S3:S14" si="6">Q3*R3</f>
        <v>13248245267</v>
      </c>
      <c r="T3" s="23">
        <f t="shared" ref="T3:T14" si="7">S3/F3</f>
        <v>0.03402831856</v>
      </c>
      <c r="U3" s="31">
        <v>0.041028510000000004</v>
      </c>
      <c r="V3" s="21">
        <f t="shared" ref="V3:V14" si="8">F3/H3</f>
        <v>6533.71067</v>
      </c>
      <c r="W3" s="25">
        <f t="shared" ref="W3:W14" si="9">V3*(1-U3)</f>
        <v>6265.642256</v>
      </c>
      <c r="X3" s="43">
        <v>0.741</v>
      </c>
      <c r="Y3" s="3"/>
      <c r="Z3" s="41">
        <v>0.593</v>
      </c>
      <c r="AA3" s="3"/>
      <c r="AB3" s="26">
        <f t="shared" ref="AB3:AB14" si="10">X3-Z3</f>
        <v>0.148</v>
      </c>
      <c r="AC3" s="27">
        <f t="shared" ref="AC3:AF3" si="1">AC4+($AG3-$AG4)/4</f>
        <v>0.1301536258</v>
      </c>
      <c r="AD3" s="27">
        <f t="shared" si="1"/>
        <v>0.06115362583</v>
      </c>
      <c r="AE3" s="27">
        <f t="shared" si="1"/>
        <v>0.03585362583</v>
      </c>
      <c r="AF3" s="27">
        <f t="shared" si="1"/>
        <v>0.04085362583</v>
      </c>
      <c r="AG3" s="23">
        <f t="shared" ref="AG3:AG8" si="12">AG4*95%</f>
        <v>0.2680145033</v>
      </c>
      <c r="AH3" s="39">
        <f t="shared" ref="AH3:AH14" si="13">AG3+J3+N3-T3</f>
        <v>0.2434883236</v>
      </c>
      <c r="AI3" s="29">
        <f t="shared" ref="AI3:AI14" si="14">W3*AB3</f>
        <v>927.3150539</v>
      </c>
      <c r="AJ3" s="30" t="str">
        <f t="shared" ref="AJ3:AJ14" si="15">IFS(
AI3&lt;=2500,"D-",
AI3&lt;=5000,"D",
AI3&lt;=10000,"D+",
AI3&lt;=12500,"C-",
AI3&lt;=15000,"C",
AI3&lt;=20000,"C+",
AI3&lt;=25000,"B-",
AI3&lt;=30000,"B",
AI3&lt;=35000,"B+",
AI3&lt;=40000,"A-",
AI3&lt;=50000,"A",
AI3&lt;=100000,"A+",
TRUE,"Out of range"
)
</f>
        <v>D-</v>
      </c>
      <c r="AK3" s="30" t="str">
        <f t="shared" ref="AK3:AK14" si="16">CONCAT(ROUND(AH3,2),AJ3)</f>
        <v>0.24D-</v>
      </c>
    </row>
    <row r="4">
      <c r="A4" s="1">
        <v>2020.0</v>
      </c>
      <c r="B4" s="21">
        <f>84.75*1000000000000</f>
        <v>84750000000000</v>
      </c>
      <c r="C4" s="24">
        <f t="shared" ref="C4:C13" si="17">(B4-B3)/B3</f>
        <v>-0.03363740023</v>
      </c>
      <c r="D4" s="22">
        <f>7.89*10^9</f>
        <v>7890000000</v>
      </c>
      <c r="E4" s="24">
        <f t="shared" ref="E4:E13" si="18">(D4-D3)/D3</f>
        <v>0.01024327785</v>
      </c>
      <c r="F4" s="21">
        <v>3.379747E11</v>
      </c>
      <c r="G4" s="24">
        <f t="shared" ref="G4:G13" si="19">(F4-F3)/F3</f>
        <v>-0.1319068656</v>
      </c>
      <c r="H4" s="32">
        <v>6.0562381E7</v>
      </c>
      <c r="I4" s="24">
        <f t="shared" ref="I4:I13" si="20">(H4-H3)/H3</f>
        <v>0.01635392832</v>
      </c>
      <c r="J4" s="23">
        <f t="shared" si="2"/>
        <v>0.003987902065</v>
      </c>
      <c r="K4" s="21">
        <v>7.835518E10</v>
      </c>
      <c r="L4" s="21">
        <v>9.31996E10</v>
      </c>
      <c r="M4" s="21">
        <f t="shared" si="3"/>
        <v>14844420000</v>
      </c>
      <c r="N4" s="23">
        <f t="shared" si="4"/>
        <v>0.04392169</v>
      </c>
      <c r="O4" s="31">
        <v>0.75725509</v>
      </c>
      <c r="P4" s="24">
        <f t="shared" ref="P4:P13" si="21">(O4-O3)/O3</f>
        <v>0.1724160936</v>
      </c>
      <c r="Q4" s="21">
        <f t="shared" si="5"/>
        <v>255933061866</v>
      </c>
      <c r="R4" s="31">
        <v>0.02198414</v>
      </c>
      <c r="S4" s="21">
        <f t="shared" si="6"/>
        <v>5626468263</v>
      </c>
      <c r="T4" s="23">
        <f t="shared" si="7"/>
        <v>0.01664760191</v>
      </c>
      <c r="U4" s="31">
        <v>0.03232388</v>
      </c>
      <c r="V4" s="21">
        <f t="shared" si="8"/>
        <v>5580.604567</v>
      </c>
      <c r="W4" s="25">
        <f t="shared" si="9"/>
        <v>5400.217775</v>
      </c>
      <c r="X4" s="43">
        <v>0.722</v>
      </c>
      <c r="Y4" s="31">
        <f t="shared" ref="Y4:Y13" si="22">(X4-X3)/X3</f>
        <v>-0.02564102564</v>
      </c>
      <c r="Z4" s="41">
        <v>0.578</v>
      </c>
      <c r="AA4" s="31">
        <f t="shared" ref="AA4:AA13" si="23">(Z4-Z3)/Z4</f>
        <v>-0.02595155709</v>
      </c>
      <c r="AB4" s="26">
        <f t="shared" si="10"/>
        <v>0.144</v>
      </c>
      <c r="AC4" s="27">
        <f t="shared" ref="AC4:AF4" si="11">AC5+($AG4-$AG5)/4</f>
        <v>0.1336801325</v>
      </c>
      <c r="AD4" s="27">
        <f t="shared" si="11"/>
        <v>0.06468013245</v>
      </c>
      <c r="AE4" s="27">
        <f t="shared" si="11"/>
        <v>0.03938013245</v>
      </c>
      <c r="AF4" s="27">
        <f t="shared" si="11"/>
        <v>0.04438013245</v>
      </c>
      <c r="AG4" s="23">
        <f t="shared" si="12"/>
        <v>0.2821205298</v>
      </c>
      <c r="AH4" s="39">
        <f t="shared" si="13"/>
        <v>0.31338252</v>
      </c>
      <c r="AI4" s="29">
        <f t="shared" si="14"/>
        <v>777.6313596</v>
      </c>
      <c r="AJ4" s="30" t="str">
        <f t="shared" si="15"/>
        <v>D-</v>
      </c>
      <c r="AK4" s="30" t="str">
        <f t="shared" si="16"/>
        <v>0.31D-</v>
      </c>
    </row>
    <row r="5">
      <c r="A5" s="1">
        <v>2021.0</v>
      </c>
      <c r="B5" s="21">
        <f>96.14*1000000000000</f>
        <v>96140000000000</v>
      </c>
      <c r="C5" s="24">
        <f t="shared" si="17"/>
        <v>0.1343952802</v>
      </c>
      <c r="D5" s="22">
        <f>7.95*10^9</f>
        <v>7950000000</v>
      </c>
      <c r="E5" s="24">
        <f t="shared" si="18"/>
        <v>0.007604562738</v>
      </c>
      <c r="F5" s="21">
        <v>4.199863E11</v>
      </c>
      <c r="G5" s="24">
        <f t="shared" si="19"/>
        <v>0.2426560331</v>
      </c>
      <c r="H5" s="32">
        <v>6.1502603E7</v>
      </c>
      <c r="I5" s="24">
        <f t="shared" si="20"/>
        <v>0.01552485197</v>
      </c>
      <c r="J5" s="23">
        <f t="shared" si="2"/>
        <v>0.004368486582</v>
      </c>
      <c r="K5" s="21">
        <v>1.048836E11</v>
      </c>
      <c r="L5" s="21">
        <v>1.310005E11</v>
      </c>
      <c r="M5" s="21">
        <f t="shared" si="3"/>
        <v>26116900000</v>
      </c>
      <c r="N5" s="23">
        <f t="shared" si="4"/>
        <v>0.06218512366</v>
      </c>
      <c r="O5" s="31">
        <v>0.7408260799999999</v>
      </c>
      <c r="P5" s="24">
        <f t="shared" si="21"/>
        <v>-0.02169547649</v>
      </c>
      <c r="Q5" s="21">
        <f t="shared" si="5"/>
        <v>311136804283</v>
      </c>
      <c r="R5" s="31">
        <v>0.0059508799999999995</v>
      </c>
      <c r="S5" s="21">
        <f t="shared" si="6"/>
        <v>1851537786</v>
      </c>
      <c r="T5" s="23">
        <f t="shared" si="7"/>
        <v>0.004408567103</v>
      </c>
      <c r="U5" s="31">
        <v>0.04618745</v>
      </c>
      <c r="V5" s="21">
        <f t="shared" si="8"/>
        <v>6828.7565</v>
      </c>
      <c r="W5" s="25">
        <f t="shared" si="9"/>
        <v>6513.353651</v>
      </c>
      <c r="X5" s="43">
        <v>0.721</v>
      </c>
      <c r="Y5" s="31">
        <f t="shared" si="22"/>
        <v>-0.001385041551</v>
      </c>
      <c r="Z5" s="41">
        <v>0.648</v>
      </c>
      <c r="AA5" s="31">
        <f t="shared" si="23"/>
        <v>0.1080246914</v>
      </c>
      <c r="AB5" s="26">
        <f t="shared" si="10"/>
        <v>0.073</v>
      </c>
      <c r="AC5" s="27">
        <f t="shared" ref="AC5:AF5" si="24">AC6+($AG5-$AG6)/4</f>
        <v>0.1373922447</v>
      </c>
      <c r="AD5" s="27">
        <f t="shared" si="24"/>
        <v>0.06839224469</v>
      </c>
      <c r="AE5" s="27">
        <f t="shared" si="24"/>
        <v>0.04309224469</v>
      </c>
      <c r="AF5" s="27">
        <f t="shared" si="24"/>
        <v>0.04809224469</v>
      </c>
      <c r="AG5" s="23">
        <f t="shared" si="12"/>
        <v>0.2969689788</v>
      </c>
      <c r="AH5" s="39">
        <f t="shared" si="13"/>
        <v>0.3591140219</v>
      </c>
      <c r="AI5" s="29">
        <f t="shared" si="14"/>
        <v>475.4748165</v>
      </c>
      <c r="AJ5" s="30" t="str">
        <f t="shared" si="15"/>
        <v>D-</v>
      </c>
      <c r="AK5" s="30" t="str">
        <f t="shared" si="16"/>
        <v>0.36D-</v>
      </c>
    </row>
    <row r="6">
      <c r="A6" s="1">
        <v>2022.0</v>
      </c>
      <c r="B6" s="21">
        <f>101.56*1000000000000</f>
        <v>101560000000000</v>
      </c>
      <c r="C6" s="24">
        <f t="shared" si="17"/>
        <v>0.05637611816</v>
      </c>
      <c r="D6" s="22">
        <f>8.02*10^9</f>
        <v>8020000000</v>
      </c>
      <c r="E6" s="24">
        <f t="shared" si="18"/>
        <v>0.008805031447</v>
      </c>
      <c r="F6" s="21">
        <v>4.07596E11</v>
      </c>
      <c r="G6" s="24">
        <f t="shared" si="19"/>
        <v>-0.0295016766</v>
      </c>
      <c r="H6" s="32">
        <v>6.237841E7</v>
      </c>
      <c r="I6" s="24">
        <f t="shared" si="20"/>
        <v>0.01424016151</v>
      </c>
      <c r="J6" s="23">
        <f t="shared" si="2"/>
        <v>0.004013351713</v>
      </c>
      <c r="K6" s="21">
        <v>1.280165E11</v>
      </c>
      <c r="L6" s="21">
        <v>1.367054E11</v>
      </c>
      <c r="M6" s="21">
        <f t="shared" si="3"/>
        <v>8688900000</v>
      </c>
      <c r="N6" s="23">
        <f t="shared" si="4"/>
        <v>0.02131743197</v>
      </c>
      <c r="O6" s="31">
        <v>0.7620544300000001</v>
      </c>
      <c r="P6" s="24">
        <f t="shared" si="21"/>
        <v>0.02865497122</v>
      </c>
      <c r="Q6" s="21">
        <f t="shared" si="5"/>
        <v>310610337450</v>
      </c>
      <c r="R6" s="31">
        <v>0.03373876</v>
      </c>
      <c r="S6" s="21">
        <f t="shared" si="6"/>
        <v>10479607629</v>
      </c>
      <c r="T6" s="23">
        <f t="shared" si="7"/>
        <v>0.02571077152</v>
      </c>
      <c r="U6" s="31">
        <v>0.07039873</v>
      </c>
      <c r="V6" s="21">
        <f t="shared" si="8"/>
        <v>6534.247987</v>
      </c>
      <c r="W6" s="25">
        <f t="shared" si="9"/>
        <v>6074.245228</v>
      </c>
      <c r="X6" s="43">
        <v>0.717</v>
      </c>
      <c r="Y6" s="31">
        <f t="shared" si="22"/>
        <v>-0.005547850208</v>
      </c>
      <c r="Z6" s="41">
        <v>0.63</v>
      </c>
      <c r="AA6" s="31">
        <f t="shared" si="23"/>
        <v>-0.02857142857</v>
      </c>
      <c r="AB6" s="26">
        <f t="shared" si="10"/>
        <v>0.087</v>
      </c>
      <c r="AC6" s="27">
        <f t="shared" ref="AC6:AF6" si="25">AC7+($AG6-$AG7)/4</f>
        <v>0.1412997313</v>
      </c>
      <c r="AD6" s="27">
        <f t="shared" si="25"/>
        <v>0.07229973125</v>
      </c>
      <c r="AE6" s="27">
        <f t="shared" si="25"/>
        <v>0.04699973125</v>
      </c>
      <c r="AF6" s="27">
        <f t="shared" si="25"/>
        <v>0.05199973125</v>
      </c>
      <c r="AG6" s="23">
        <f t="shared" si="12"/>
        <v>0.312598925</v>
      </c>
      <c r="AH6" s="39">
        <f t="shared" si="13"/>
        <v>0.3122189372</v>
      </c>
      <c r="AI6" s="29">
        <f t="shared" si="14"/>
        <v>528.4593348</v>
      </c>
      <c r="AJ6" s="30" t="str">
        <f t="shared" si="15"/>
        <v>D-</v>
      </c>
      <c r="AK6" s="30" t="str">
        <f t="shared" si="16"/>
        <v>0.31D-</v>
      </c>
    </row>
    <row r="7">
      <c r="A7" s="1">
        <v>2023.0</v>
      </c>
      <c r="B7" s="21">
        <f>106.8*1000000000000</f>
        <v>106800000000000</v>
      </c>
      <c r="C7" s="24">
        <f t="shared" si="17"/>
        <v>0.05159511619</v>
      </c>
      <c r="D7" s="32">
        <f>8.09*10^9</f>
        <v>8090000000</v>
      </c>
      <c r="E7" s="24">
        <f t="shared" si="18"/>
        <v>0.008728179551</v>
      </c>
      <c r="F7" s="21">
        <v>3.814407E11</v>
      </c>
      <c r="G7" s="24">
        <f t="shared" si="19"/>
        <v>-0.064169668</v>
      </c>
      <c r="H7" s="32">
        <v>6.3212384E7</v>
      </c>
      <c r="I7" s="24">
        <f t="shared" si="20"/>
        <v>0.01336959374</v>
      </c>
      <c r="J7" s="23">
        <f t="shared" si="2"/>
        <v>0.003571542135</v>
      </c>
      <c r="K7" s="21">
        <v>1.236862E11</v>
      </c>
      <c r="L7" s="21">
        <v>1.268436E11</v>
      </c>
      <c r="M7" s="21">
        <f t="shared" si="3"/>
        <v>3157400000</v>
      </c>
      <c r="N7" s="23">
        <f t="shared" si="4"/>
        <v>0.008277564507</v>
      </c>
      <c r="O7" s="31">
        <v>0.7944690799999999</v>
      </c>
      <c r="P7" s="24">
        <f t="shared" si="21"/>
        <v>0.0425358724</v>
      </c>
      <c r="Q7" s="21">
        <f t="shared" si="5"/>
        <v>303042842004</v>
      </c>
      <c r="R7" s="31">
        <v>0.06472067</v>
      </c>
      <c r="S7" s="21">
        <f t="shared" si="6"/>
        <v>19613135773</v>
      </c>
      <c r="T7" s="23">
        <f t="shared" si="7"/>
        <v>0.05141857115</v>
      </c>
      <c r="U7" s="31">
        <v>0.06075244</v>
      </c>
      <c r="V7" s="21">
        <f t="shared" si="8"/>
        <v>6034.271702</v>
      </c>
      <c r="W7" s="25">
        <f t="shared" si="9"/>
        <v>5667.674973</v>
      </c>
      <c r="X7" s="44">
        <f t="shared" ref="X7:X8" si="27">AVERAGE(X6,$X$9)</f>
        <v>0.7285</v>
      </c>
      <c r="Y7" s="31">
        <f t="shared" si="22"/>
        <v>0.0160390516</v>
      </c>
      <c r="Z7" s="41">
        <v>0.634</v>
      </c>
      <c r="AA7" s="31">
        <f t="shared" si="23"/>
        <v>0.006309148265</v>
      </c>
      <c r="AB7" s="26">
        <f t="shared" si="10"/>
        <v>0.0945</v>
      </c>
      <c r="AC7" s="27">
        <f t="shared" ref="AC7:AF7" si="26">AC8+($AG7-$AG8)/4</f>
        <v>0.145412875</v>
      </c>
      <c r="AD7" s="27">
        <f t="shared" si="26"/>
        <v>0.076412875</v>
      </c>
      <c r="AE7" s="27">
        <f t="shared" si="26"/>
        <v>0.051112875</v>
      </c>
      <c r="AF7" s="27">
        <f t="shared" si="26"/>
        <v>0.056112875</v>
      </c>
      <c r="AG7" s="23">
        <f t="shared" si="12"/>
        <v>0.3290515</v>
      </c>
      <c r="AH7" s="39">
        <f t="shared" si="13"/>
        <v>0.2894820355</v>
      </c>
      <c r="AI7" s="29">
        <f t="shared" si="14"/>
        <v>535.5952849</v>
      </c>
      <c r="AJ7" s="30" t="str">
        <f t="shared" si="15"/>
        <v>D-</v>
      </c>
      <c r="AK7" s="30" t="str">
        <f t="shared" si="16"/>
        <v>0.29D-</v>
      </c>
    </row>
    <row r="8">
      <c r="A8" s="1">
        <v>2024.0</v>
      </c>
      <c r="B8" s="21">
        <f>112.6*1000000000000</f>
        <v>112600000000000</v>
      </c>
      <c r="C8" s="24">
        <f t="shared" si="17"/>
        <v>0.0543071161</v>
      </c>
      <c r="D8" s="32">
        <v>8.161972572E9</v>
      </c>
      <c r="E8" s="24">
        <f t="shared" si="18"/>
        <v>0.008896486032</v>
      </c>
      <c r="F8" s="21">
        <v>4.01145E11</v>
      </c>
      <c r="G8" s="24">
        <f t="shared" si="19"/>
        <v>0.05165757089</v>
      </c>
      <c r="H8" s="32">
        <v>6.4007187E7</v>
      </c>
      <c r="I8" s="24">
        <f t="shared" si="20"/>
        <v>0.01257353306</v>
      </c>
      <c r="J8" s="23">
        <f t="shared" si="2"/>
        <v>0.003562566607</v>
      </c>
      <c r="K8" s="21">
        <v>1.197613E11</v>
      </c>
      <c r="L8" s="21">
        <v>1.275316E11</v>
      </c>
      <c r="M8" s="21">
        <f t="shared" si="3"/>
        <v>7770300000</v>
      </c>
      <c r="N8" s="23">
        <f t="shared" si="4"/>
        <v>0.01937030251</v>
      </c>
      <c r="O8" s="31">
        <f>AVERAGE(O7,O9)</f>
        <v>0.7872340709</v>
      </c>
      <c r="P8" s="24">
        <f t="shared" si="21"/>
        <v>-0.00910672202</v>
      </c>
      <c r="Q8" s="21">
        <f t="shared" si="5"/>
        <v>315795011385</v>
      </c>
      <c r="R8" s="31">
        <v>0.0741754</v>
      </c>
      <c r="S8" s="21">
        <f t="shared" si="6"/>
        <v>23424221287</v>
      </c>
      <c r="T8" s="23">
        <f t="shared" si="7"/>
        <v>0.05839340211</v>
      </c>
      <c r="U8" s="31">
        <v>0.043611519999999994</v>
      </c>
      <c r="V8" s="21">
        <f t="shared" si="8"/>
        <v>6267.18684</v>
      </c>
      <c r="W8" s="25">
        <f t="shared" si="9"/>
        <v>5993.865295</v>
      </c>
      <c r="X8" s="44">
        <f t="shared" si="27"/>
        <v>0.73425</v>
      </c>
      <c r="Y8" s="31">
        <f t="shared" si="22"/>
        <v>0.007892930679</v>
      </c>
      <c r="Z8" s="41">
        <v>0.63</v>
      </c>
      <c r="AA8" s="31">
        <f t="shared" si="23"/>
        <v>-0.006349206349</v>
      </c>
      <c r="AB8" s="26">
        <f t="shared" si="10"/>
        <v>0.10425</v>
      </c>
      <c r="AC8" s="27">
        <f t="shared" ref="AC8:AF8" si="28">AC9+($AG8-$AG9)/4</f>
        <v>0.1497425</v>
      </c>
      <c r="AD8" s="27">
        <f t="shared" si="28"/>
        <v>0.0807425</v>
      </c>
      <c r="AE8" s="27">
        <f t="shared" si="28"/>
        <v>0.0554425</v>
      </c>
      <c r="AF8" s="27">
        <f t="shared" si="28"/>
        <v>0.0604425</v>
      </c>
      <c r="AG8" s="23">
        <f t="shared" si="12"/>
        <v>0.34637</v>
      </c>
      <c r="AH8" s="39">
        <f t="shared" si="13"/>
        <v>0.310909467</v>
      </c>
      <c r="AI8" s="29">
        <f t="shared" si="14"/>
        <v>624.860457</v>
      </c>
      <c r="AJ8" s="30" t="str">
        <f t="shared" si="15"/>
        <v>D-</v>
      </c>
      <c r="AK8" s="30" t="str">
        <f t="shared" si="16"/>
        <v>0.31D-</v>
      </c>
    </row>
    <row r="9">
      <c r="A9" s="1">
        <v>2025.0</v>
      </c>
      <c r="B9" s="33">
        <v>1.13795678E14</v>
      </c>
      <c r="C9" s="24">
        <f t="shared" si="17"/>
        <v>0.01061880995</v>
      </c>
      <c r="D9" s="32">
        <v>8.23161307E9</v>
      </c>
      <c r="E9" s="24">
        <f t="shared" si="18"/>
        <v>0.008532312181</v>
      </c>
      <c r="F9" s="33">
        <v>4.2638E11</v>
      </c>
      <c r="G9" s="24">
        <f t="shared" si="19"/>
        <v>0.06290742749</v>
      </c>
      <c r="H9" s="32">
        <v>6.401E7</v>
      </c>
      <c r="I9" s="24">
        <f t="shared" si="20"/>
        <v>0.00004394818976</v>
      </c>
      <c r="J9" s="23">
        <f t="shared" si="2"/>
        <v>0.003746890985</v>
      </c>
      <c r="K9" s="33">
        <f>252000000000/2</f>
        <v>126000000000</v>
      </c>
      <c r="L9" s="21">
        <f t="shared" ref="L9:L14" si="29">K9+M9</f>
        <v>164000000000</v>
      </c>
      <c r="M9" s="33">
        <v>3.8E10</v>
      </c>
      <c r="N9" s="23">
        <f t="shared" si="4"/>
        <v>0.0891223791</v>
      </c>
      <c r="O9" s="24">
        <f>Q9/F9</f>
        <v>0.7799990619</v>
      </c>
      <c r="P9" s="24">
        <f t="shared" si="21"/>
        <v>-0.009190416589</v>
      </c>
      <c r="Q9" s="33">
        <v>3.32576E11</v>
      </c>
      <c r="R9" s="31">
        <v>0.0675</v>
      </c>
      <c r="S9" s="21">
        <f t="shared" si="6"/>
        <v>22448880000</v>
      </c>
      <c r="T9" s="23">
        <f t="shared" si="7"/>
        <v>0.05264993668</v>
      </c>
      <c r="U9" s="31">
        <v>0.034</v>
      </c>
      <c r="V9" s="21">
        <f t="shared" si="8"/>
        <v>6661.146696</v>
      </c>
      <c r="W9" s="25">
        <f t="shared" si="9"/>
        <v>6434.667708</v>
      </c>
      <c r="X9" s="43">
        <v>0.74</v>
      </c>
      <c r="Y9" s="31">
        <f t="shared" si="22"/>
        <v>0.007831120191</v>
      </c>
      <c r="Z9" s="41">
        <v>0.63</v>
      </c>
      <c r="AA9" s="31">
        <f t="shared" si="23"/>
        <v>0</v>
      </c>
      <c r="AB9" s="26">
        <f t="shared" si="10"/>
        <v>0.11</v>
      </c>
      <c r="AC9" s="31">
        <v>0.1543</v>
      </c>
      <c r="AD9" s="31">
        <v>0.0853</v>
      </c>
      <c r="AE9" s="31">
        <v>0.06</v>
      </c>
      <c r="AF9" s="31">
        <v>0.065</v>
      </c>
      <c r="AG9" s="23">
        <f>SUM(AC9:AF9)</f>
        <v>0.3646</v>
      </c>
      <c r="AH9" s="39">
        <f t="shared" si="13"/>
        <v>0.4048193334</v>
      </c>
      <c r="AI9" s="29">
        <f t="shared" si="14"/>
        <v>707.8134479</v>
      </c>
      <c r="AJ9" s="30" t="str">
        <f t="shared" si="15"/>
        <v>D-</v>
      </c>
      <c r="AK9" s="30" t="str">
        <f t="shared" si="16"/>
        <v>0.4D-</v>
      </c>
    </row>
    <row r="10">
      <c r="A10" s="34">
        <v>2026.0</v>
      </c>
      <c r="B10" s="21">
        <f>AVERAGE(FORECAST(A10,B3:B9,$A$3:$A$9),B9*(AVERAGE(C4:C9)+1))</f>
        <v>120063810405112</v>
      </c>
      <c r="C10" s="24">
        <f t="shared" si="17"/>
        <v>0.05508234157</v>
      </c>
      <c r="D10" s="22">
        <f>AVERAGE(FORECAST(A10,D3:D9,$A$3:$A$9),D9*(AVERAGE(E4:E9)+1))</f>
        <v>8302201675</v>
      </c>
      <c r="E10" s="24">
        <f t="shared" si="18"/>
        <v>0.008575306441</v>
      </c>
      <c r="F10" s="21">
        <f>AVERAGE(FORECAST(A10,F3:F9,$A$3:$A$9),F9*(AVERAGE(G4:G9)+1))</f>
        <v>429495895987</v>
      </c>
      <c r="G10" s="24">
        <f t="shared" si="19"/>
        <v>0.007307791141</v>
      </c>
      <c r="H10" s="22">
        <f>AVERAGE(FORECAST(A10,H3:H9,$A$3:$A$9),H9*(AVERAGE(I4:I9)+1))</f>
        <v>65041524.65</v>
      </c>
      <c r="I10" s="24">
        <f t="shared" si="20"/>
        <v>0.01611505474</v>
      </c>
      <c r="J10" s="35">
        <f t="shared" si="2"/>
        <v>0.003577230262</v>
      </c>
      <c r="K10" s="36">
        <f>FORECAST(A10,K3:K9,A3:A9)</f>
        <v>136063945714</v>
      </c>
      <c r="L10" s="36">
        <f t="shared" si="29"/>
        <v>160567942857</v>
      </c>
      <c r="M10" s="21">
        <f>FORECAST(A10,M3:M9,$A$3:$A$9)</f>
        <v>24503997143</v>
      </c>
      <c r="N10" s="24">
        <f t="shared" si="4"/>
        <v>0.057052925</v>
      </c>
      <c r="O10" s="24">
        <f>AVERAGE(FORECAST(A10,O3:O9,$A$3:$A$9),O9*(AVERAGE(P4:P9)+1))</f>
        <v>0.8163523317</v>
      </c>
      <c r="P10" s="24">
        <f t="shared" si="21"/>
        <v>0.04660681223</v>
      </c>
      <c r="Q10" s="21">
        <f t="shared" ref="Q10:Q14" si="31">O10*F10</f>
        <v>350619976139</v>
      </c>
      <c r="R10" s="24">
        <f>FORECAST(A10,R3:R9,$A$3:$A$9)</f>
        <v>0.07547912</v>
      </c>
      <c r="S10" s="21">
        <f t="shared" si="6"/>
        <v>26464487253</v>
      </c>
      <c r="T10" s="24">
        <f t="shared" si="7"/>
        <v>0.06161755561</v>
      </c>
      <c r="U10" s="24">
        <f>FORECAST(A10,U3:U9,$A$3:$A$9)</f>
        <v>0.04919389571</v>
      </c>
      <c r="V10" s="21">
        <f t="shared" si="8"/>
        <v>6603.410641</v>
      </c>
      <c r="W10" s="21">
        <f t="shared" si="9"/>
        <v>6278.563146</v>
      </c>
      <c r="X10" s="37">
        <f>AVERAGE(FORECAST(A10,X3:X9,$A$3:$A$9),X9*(AVERAGE(Y4:Y9)+1))</f>
        <v>0.7365749997</v>
      </c>
      <c r="Y10" s="31">
        <f t="shared" si="22"/>
        <v>-0.004628378721</v>
      </c>
      <c r="Z10" s="38">
        <f>AVERAGE(FORECAST(A10,Z3:Z9,$A$3:$A$9),Z9*(AVERAGE(AA4:AA9)+1))</f>
        <v>0.6423781651</v>
      </c>
      <c r="AA10" s="31">
        <f t="shared" si="23"/>
        <v>0.01926928053</v>
      </c>
      <c r="AB10" s="37">
        <f t="shared" si="10"/>
        <v>0.09419683468</v>
      </c>
      <c r="AC10" s="27">
        <f t="shared" ref="AC10:AF10" si="30">AC9+($AG10-$AG9)/4</f>
        <v>0.1588575</v>
      </c>
      <c r="AD10" s="27">
        <f t="shared" si="30"/>
        <v>0.0898575</v>
      </c>
      <c r="AE10" s="27">
        <f t="shared" si="30"/>
        <v>0.0645575</v>
      </c>
      <c r="AF10" s="27">
        <f t="shared" si="30"/>
        <v>0.0695575</v>
      </c>
      <c r="AG10" s="24">
        <f t="shared" ref="AG10:AG14" si="33">AG9*1.05</f>
        <v>0.38283</v>
      </c>
      <c r="AH10" s="38">
        <f t="shared" si="13"/>
        <v>0.3818425997</v>
      </c>
      <c r="AI10" s="21">
        <f t="shared" si="14"/>
        <v>591.4207747</v>
      </c>
      <c r="AJ10" s="30" t="str">
        <f t="shared" si="15"/>
        <v>D-</v>
      </c>
      <c r="AK10" s="30" t="str">
        <f t="shared" si="16"/>
        <v>0.38D-</v>
      </c>
    </row>
    <row r="11">
      <c r="A11" s="34">
        <v>2027.0</v>
      </c>
      <c r="B11" s="21">
        <f>AVERAGE(FORECAST($A11,B3:B10,$A3:$A10),B10*(AVERAGE(C4:C10)+1))</f>
        <v>125735541889780</v>
      </c>
      <c r="C11" s="24">
        <f t="shared" si="17"/>
        <v>0.04723930938</v>
      </c>
      <c r="D11" s="22">
        <f>AVERAGE(FORECAST($A11,D3:D10,$A3:$A10),D10*(AVERAGE(E4:E10)+1))</f>
        <v>8372937901</v>
      </c>
      <c r="E11" s="24">
        <f t="shared" si="18"/>
        <v>0.008520176861</v>
      </c>
      <c r="F11" s="21">
        <f>AVERAGE(FORECAST($A11,F3:F10,$A3:$A10),F10*(AVERAGE(G4:G10)+1))</f>
        <v>435751480402</v>
      </c>
      <c r="G11" s="24">
        <f t="shared" si="19"/>
        <v>0.01456494573</v>
      </c>
      <c r="H11" s="22">
        <f>AVERAGE(FORECAST($A11,H3:H10,$A3:$A10),H10*(AVERAGE(I4:I10)+1))</f>
        <v>65907412.17</v>
      </c>
      <c r="I11" s="24">
        <f t="shared" si="20"/>
        <v>0.0133128416</v>
      </c>
      <c r="J11" s="35">
        <f t="shared" si="2"/>
        <v>0.00346561898</v>
      </c>
      <c r="K11" s="36">
        <f>FORECAST(A11,K3:K10,A3:A10)</f>
        <v>142057154286</v>
      </c>
      <c r="L11" s="21">
        <f t="shared" si="29"/>
        <v>169096114286</v>
      </c>
      <c r="M11" s="21">
        <f>FORECAST($A11,M3:M10,$A3:$A10)</f>
        <v>27038960000</v>
      </c>
      <c r="N11" s="24">
        <f t="shared" si="4"/>
        <v>0.06205133251</v>
      </c>
      <c r="O11" s="24">
        <f>AVERAGE(FORECAST($A11,O3:O10,$A3:$A10),O10*(AVERAGE(P4:P10)+1))</f>
        <v>0.8426266601</v>
      </c>
      <c r="P11" s="24">
        <f t="shared" si="21"/>
        <v>0.03218503504</v>
      </c>
      <c r="Q11" s="21">
        <f t="shared" si="31"/>
        <v>367175814559</v>
      </c>
      <c r="R11" s="24">
        <f>FORECAST($A11,R3:R10,$A3:$A10)</f>
        <v>0.08289339964</v>
      </c>
      <c r="S11" s="21">
        <f t="shared" si="6"/>
        <v>30436451535</v>
      </c>
      <c r="T11" s="24">
        <f t="shared" si="7"/>
        <v>0.06984818848</v>
      </c>
      <c r="U11" s="24">
        <f>FORECAST($A11,U3:U10,$A3:$A10)</f>
        <v>0.04976727929</v>
      </c>
      <c r="V11" s="21">
        <f t="shared" si="8"/>
        <v>6611.570172</v>
      </c>
      <c r="W11" s="21">
        <f t="shared" si="9"/>
        <v>6282.530313</v>
      </c>
      <c r="X11" s="37">
        <f>AVERAGE(FORECAST($A11,X3:X10,$A3:$A10),X10*(AVERAGE(Y4:Y10)+1))</f>
        <v>0.7359754374</v>
      </c>
      <c r="Y11" s="31">
        <f t="shared" si="22"/>
        <v>-0.0008139868575</v>
      </c>
      <c r="Z11" s="38">
        <f>AVERAGE(FORECAST($A11,Z3:Z10,$A3:$A10),Z10*(AVERAGE(AA4:AA10)+1))</f>
        <v>0.650995821</v>
      </c>
      <c r="AA11" s="31">
        <f t="shared" si="23"/>
        <v>0.01323765162</v>
      </c>
      <c r="AB11" s="37">
        <f t="shared" si="10"/>
        <v>0.08497961642</v>
      </c>
      <c r="AC11" s="27">
        <f t="shared" ref="AC11:AF11" si="32">AC10+($AG11-$AG10)/4</f>
        <v>0.163642875</v>
      </c>
      <c r="AD11" s="27">
        <f t="shared" si="32"/>
        <v>0.094642875</v>
      </c>
      <c r="AE11" s="27">
        <f t="shared" si="32"/>
        <v>0.069342875</v>
      </c>
      <c r="AF11" s="27">
        <f t="shared" si="32"/>
        <v>0.074342875</v>
      </c>
      <c r="AG11" s="24">
        <f t="shared" si="33"/>
        <v>0.4019715</v>
      </c>
      <c r="AH11" s="38">
        <f t="shared" si="13"/>
        <v>0.397640263</v>
      </c>
      <c r="AI11" s="21">
        <f t="shared" si="14"/>
        <v>533.8870161</v>
      </c>
      <c r="AJ11" s="30" t="str">
        <f t="shared" si="15"/>
        <v>D-</v>
      </c>
      <c r="AK11" s="30" t="str">
        <f t="shared" si="16"/>
        <v>0.4D-</v>
      </c>
    </row>
    <row r="12">
      <c r="A12" s="34">
        <v>2028.0</v>
      </c>
      <c r="B12" s="21">
        <f>AVERAGE(FORECAST($A12,B3:B11,$A3:$A11),B11*(AVERAGE(C4:C11)+1))</f>
        <v>131237442252096</v>
      </c>
      <c r="C12" s="24">
        <f t="shared" si="17"/>
        <v>0.04375771782</v>
      </c>
      <c r="D12" s="22">
        <f>AVERAGE(FORECAST($A12,D3:D11,$A3:$A11),D11*(AVERAGE(E4:E11)+1))</f>
        <v>8443822776</v>
      </c>
      <c r="E12" s="24">
        <f t="shared" si="18"/>
        <v>0.008465950178</v>
      </c>
      <c r="F12" s="21">
        <f>AVERAGE(FORECAST($A12,F3:F11,$A3:$A11),F11*(AVERAGE(G4:G11)+1))</f>
        <v>443114405160</v>
      </c>
      <c r="G12" s="24">
        <f t="shared" si="19"/>
        <v>0.01689707342</v>
      </c>
      <c r="H12" s="22">
        <f>AVERAGE(FORECAST($A12,H3:H11,$A3:$A11),H11*(AVERAGE(I4:I11)+1))</f>
        <v>66718008.14</v>
      </c>
      <c r="I12" s="24">
        <f t="shared" si="20"/>
        <v>0.01229901071</v>
      </c>
      <c r="J12" s="35">
        <f t="shared" si="2"/>
        <v>0.003376432804</v>
      </c>
      <c r="K12" s="36">
        <f>FORECAST(A12,K3:K11,A3:A11)</f>
        <v>148050362857</v>
      </c>
      <c r="L12" s="21">
        <f t="shared" si="29"/>
        <v>177624285714</v>
      </c>
      <c r="M12" s="21">
        <f t="shared" ref="M12:M14" si="35">FORECAST($A12,M3:M11,$A3:$A11)</f>
        <v>29573922857</v>
      </c>
      <c r="N12" s="24">
        <f t="shared" si="4"/>
        <v>0.06674105493</v>
      </c>
      <c r="O12" s="24">
        <f>AVERAGE(FORECAST($A12,O3:O11,$A3:$A11),O11*(AVERAGE(P4:P11)+1))</f>
        <v>0.8654929167</v>
      </c>
      <c r="P12" s="24">
        <f t="shared" si="21"/>
        <v>0.02713687773</v>
      </c>
      <c r="Q12" s="21">
        <f t="shared" si="31"/>
        <v>383512378966</v>
      </c>
      <c r="R12" s="24">
        <f>FORECAST($A12,R3:R11,$A3:$A11)</f>
        <v>0.09030767929</v>
      </c>
      <c r="S12" s="21">
        <f t="shared" si="6"/>
        <v>34634112922</v>
      </c>
      <c r="T12" s="24">
        <f t="shared" si="7"/>
        <v>0.07816065675</v>
      </c>
      <c r="U12" s="24">
        <f>FORECAST($A12,U3:U11,$A3:$A11)</f>
        <v>0.05034066286</v>
      </c>
      <c r="V12" s="21">
        <f t="shared" si="8"/>
        <v>6641.601234</v>
      </c>
      <c r="W12" s="21">
        <f t="shared" si="9"/>
        <v>6307.258625</v>
      </c>
      <c r="X12" s="37">
        <f>AVERAGE(FORECAST($A12,X3:X11,$A3:$A11),X11*(AVERAGE(Y4:Y11)+1))</f>
        <v>0.7363366375</v>
      </c>
      <c r="Y12" s="31">
        <f t="shared" si="22"/>
        <v>0.0004907773711</v>
      </c>
      <c r="Z12" s="37">
        <f>AVERAGE(FORECAST($A12,Z3:Z11,$A3:$A11),Z11*(AVERAGE(AA4:AA11)+1))</f>
        <v>0.6583408635</v>
      </c>
      <c r="AA12" s="31">
        <f t="shared" si="23"/>
        <v>0.01115689906</v>
      </c>
      <c r="AB12" s="37">
        <f t="shared" si="10"/>
        <v>0.07799577395</v>
      </c>
      <c r="AC12" s="27">
        <f t="shared" ref="AC12:AF12" si="34">AC11+($AG12-$AG11)/4</f>
        <v>0.1686675188</v>
      </c>
      <c r="AD12" s="27">
        <f t="shared" si="34"/>
        <v>0.09966751875</v>
      </c>
      <c r="AE12" s="27">
        <f t="shared" si="34"/>
        <v>0.07436751875</v>
      </c>
      <c r="AF12" s="27">
        <f t="shared" si="34"/>
        <v>0.07936751875</v>
      </c>
      <c r="AG12" s="24">
        <f t="shared" si="33"/>
        <v>0.422070075</v>
      </c>
      <c r="AH12" s="38">
        <f t="shared" si="13"/>
        <v>0.414026906</v>
      </c>
      <c r="AI12" s="21">
        <f t="shared" si="14"/>
        <v>491.939518</v>
      </c>
      <c r="AJ12" s="30" t="str">
        <f t="shared" si="15"/>
        <v>D-</v>
      </c>
      <c r="AK12" s="30" t="str">
        <f t="shared" si="16"/>
        <v>0.41D-</v>
      </c>
    </row>
    <row r="13">
      <c r="A13" s="34">
        <v>2029.0</v>
      </c>
      <c r="B13" s="21">
        <f>AVERAGE(FORECAST($A13,B3:B12,$A3:$A12),B12*(AVERAGE(C4:C12)+1))</f>
        <v>136712479650225</v>
      </c>
      <c r="C13" s="24">
        <f t="shared" si="17"/>
        <v>0.0417185622</v>
      </c>
      <c r="D13" s="22">
        <f>AVERAGE(FORECAST($A13,D3:D12,$A3:$A12),D12*(AVERAGE(E4:E12)+1))</f>
        <v>8514849364</v>
      </c>
      <c r="E13" s="24">
        <f t="shared" si="18"/>
        <v>0.008411662476</v>
      </c>
      <c r="F13" s="21">
        <f>AVERAGE(FORECAST($A13,F3:F12,$A3:$A12),F12*(AVERAGE(G4:G12)+1))</f>
        <v>450898077136</v>
      </c>
      <c r="G13" s="24">
        <f t="shared" si="19"/>
        <v>0.01756582924</v>
      </c>
      <c r="H13" s="22">
        <f>AVERAGE(FORECAST($A13,H3:H12,$A3:$A12),H12*(AVERAGE(I4:I12)+1))</f>
        <v>67510163.72</v>
      </c>
      <c r="I13" s="24">
        <f t="shared" si="20"/>
        <v>0.01187318992</v>
      </c>
      <c r="J13" s="35">
        <f t="shared" si="2"/>
        <v>0.003298148628</v>
      </c>
      <c r="K13" s="36">
        <f>FORECAST(A13,K3:K12,A3:A12)</f>
        <v>154043571429</v>
      </c>
      <c r="L13" s="21">
        <f t="shared" si="29"/>
        <v>184689409127</v>
      </c>
      <c r="M13" s="21">
        <f t="shared" si="35"/>
        <v>30645837698</v>
      </c>
      <c r="N13" s="24">
        <f t="shared" si="4"/>
        <v>0.06796621953</v>
      </c>
      <c r="O13" s="24">
        <f>AVERAGE(FORECAST($A13,O3:O12,$A3:$A12),O12*(AVERAGE(P4:P12)+1))</f>
        <v>0.8872108626</v>
      </c>
      <c r="P13" s="24">
        <f t="shared" si="21"/>
        <v>0.02509315261</v>
      </c>
      <c r="Q13" s="21">
        <f t="shared" si="31"/>
        <v>400041671947</v>
      </c>
      <c r="R13" s="24">
        <f>FORECAST($A13,R3:R12,$A3:$A12)</f>
        <v>0.09772195893</v>
      </c>
      <c r="S13" s="21">
        <f t="shared" si="6"/>
        <v>39092855836</v>
      </c>
      <c r="T13" s="24">
        <f t="shared" si="7"/>
        <v>0.08669998347</v>
      </c>
      <c r="U13" s="24">
        <f>FORECAST($A13,U3:U12,$A3:$A12)</f>
        <v>0.05091404643</v>
      </c>
      <c r="V13" s="21">
        <f t="shared" si="8"/>
        <v>6678.965837</v>
      </c>
      <c r="W13" s="21">
        <f t="shared" si="9"/>
        <v>6338.91266</v>
      </c>
      <c r="X13" s="37">
        <f>AVERAGE(FORECAST($A13,X3:X12,$A3:$A12),X12*(AVERAGE(Y4:Y12)+1))</f>
        <v>0.7370391597</v>
      </c>
      <c r="Y13" s="31">
        <f t="shared" si="22"/>
        <v>0.0009540775545</v>
      </c>
      <c r="Z13" s="37">
        <f>AVERAGE(FORECAST($A13,Z3:Z12,$A3:$A12),Z12*(AVERAGE(AA4:AA12)+1))</f>
        <v>0.6652406451</v>
      </c>
      <c r="AA13" s="31">
        <f t="shared" si="23"/>
        <v>0.01037185804</v>
      </c>
      <c r="AB13" s="37">
        <f t="shared" si="10"/>
        <v>0.07179851467</v>
      </c>
      <c r="AC13" s="27">
        <f t="shared" ref="AC13:AF13" si="36">AC12+($AG13-$AG12)/4</f>
        <v>0.1739433947</v>
      </c>
      <c r="AD13" s="27">
        <f t="shared" si="36"/>
        <v>0.1049433947</v>
      </c>
      <c r="AE13" s="27">
        <f t="shared" si="36"/>
        <v>0.07964339469</v>
      </c>
      <c r="AF13" s="27">
        <f t="shared" si="36"/>
        <v>0.08464339469</v>
      </c>
      <c r="AG13" s="24">
        <f t="shared" si="33"/>
        <v>0.4431735788</v>
      </c>
      <c r="AH13" s="38">
        <f t="shared" si="13"/>
        <v>0.4277379634</v>
      </c>
      <c r="AI13" s="21">
        <f t="shared" si="14"/>
        <v>455.1245136</v>
      </c>
      <c r="AJ13" s="30" t="str">
        <f t="shared" si="15"/>
        <v>D-</v>
      </c>
      <c r="AK13" s="30" t="str">
        <f t="shared" si="16"/>
        <v>0.43D-</v>
      </c>
    </row>
    <row r="14">
      <c r="A14" s="34">
        <v>2030.0</v>
      </c>
      <c r="B14" s="21">
        <f>AVERAGE(FORECAST($A14,B5:B13,$A5:$A13),B13*(AVERAGE(C6:C13)+1))</f>
        <v>141834754671550</v>
      </c>
      <c r="C14" s="24"/>
      <c r="D14" s="22">
        <f>AVERAGE(FORECAST($A14,D5:D13,$A5:$A13),D13*(AVERAGE(E6:E13)+1))</f>
        <v>8586617399</v>
      </c>
      <c r="E14" s="24"/>
      <c r="F14" s="21">
        <f>AVERAGE(FORECAST($A14,F5:F13,$A5:$A13),F13*(AVERAGE(G6:G13)+1))</f>
        <v>453802610880</v>
      </c>
      <c r="H14" s="22">
        <f>AVERAGE(FORECAST($A14,H5:H13,$A5:$A13),H13*(AVERAGE(I6:I13)+1))</f>
        <v>68200573.64</v>
      </c>
      <c r="J14" s="35">
        <f t="shared" si="2"/>
        <v>0.00319951631</v>
      </c>
      <c r="K14" s="36">
        <f>FORECAST(A14,K3:K13,A3:A13)</f>
        <v>160036780000</v>
      </c>
      <c r="L14" s="21">
        <f t="shared" si="29"/>
        <v>193864218342</v>
      </c>
      <c r="M14" s="21">
        <f t="shared" si="35"/>
        <v>33827438342</v>
      </c>
      <c r="N14" s="24">
        <f t="shared" si="4"/>
        <v>0.07454218537</v>
      </c>
      <c r="O14" s="24">
        <f>AVERAGE(FORECAST($A14,O3:O13,$A3:$A13),O13*(AVERAGE(P4:P13)+1))</f>
        <v>0.9085798435</v>
      </c>
      <c r="Q14" s="21">
        <f t="shared" si="31"/>
        <v>412315905191</v>
      </c>
      <c r="R14" s="24">
        <f>FORECAST($A14,R3:R13,$A3:$A13)</f>
        <v>0.1051362386</v>
      </c>
      <c r="S14" s="21">
        <f t="shared" si="6"/>
        <v>43349343375</v>
      </c>
      <c r="T14" s="24">
        <f t="shared" si="7"/>
        <v>0.09552466719</v>
      </c>
      <c r="U14" s="24">
        <f>FORECAST($A14,U3:U13,$A3:$A13)</f>
        <v>0.05148743</v>
      </c>
      <c r="V14" s="21">
        <f t="shared" si="8"/>
        <v>6653.941259</v>
      </c>
      <c r="W14" s="21">
        <f t="shared" si="9"/>
        <v>6311.346925</v>
      </c>
      <c r="X14" s="37">
        <f>AVERAGE(FORECAST($A14,X3:X13,$A3:$A13),X13*(AVERAGE(Y4:Y13)+1))</f>
        <v>0.7378672668</v>
      </c>
      <c r="Z14" s="37">
        <f>AVERAGE(FORECAST($A14,Z3:Z13,$A3:$A13),Z13*(AVERAGE(AA4:AA13)+1))</f>
        <v>0.6719841651</v>
      </c>
      <c r="AB14" s="37">
        <f t="shared" si="10"/>
        <v>0.0658831018</v>
      </c>
      <c r="AC14" s="27">
        <f t="shared" ref="AC14:AF14" si="37">AC13+($AG14-$AG13)/4</f>
        <v>0.1794830644</v>
      </c>
      <c r="AD14" s="27">
        <f t="shared" si="37"/>
        <v>0.1104830644</v>
      </c>
      <c r="AE14" s="27">
        <f t="shared" si="37"/>
        <v>0.08518306442</v>
      </c>
      <c r="AF14" s="27">
        <f t="shared" si="37"/>
        <v>0.09018306442</v>
      </c>
      <c r="AG14" s="24">
        <f t="shared" si="33"/>
        <v>0.4653322577</v>
      </c>
      <c r="AH14" s="38">
        <f t="shared" si="13"/>
        <v>0.4475492922</v>
      </c>
      <c r="AI14" s="21">
        <f t="shared" si="14"/>
        <v>415.8111119</v>
      </c>
      <c r="AJ14" s="30" t="str">
        <f t="shared" si="15"/>
        <v>D-</v>
      </c>
      <c r="AK14" s="30" t="str">
        <f t="shared" si="16"/>
        <v>0.45D-</v>
      </c>
    </row>
    <row r="16">
      <c r="C16" s="45"/>
      <c r="D16" s="45"/>
      <c r="E16" s="45"/>
      <c r="F16" s="45"/>
      <c r="G16" s="45"/>
      <c r="H16" s="45"/>
      <c r="I16" s="45"/>
      <c r="J16" s="45"/>
      <c r="K16" s="45"/>
      <c r="L16" s="45"/>
      <c r="M16" s="45"/>
    </row>
    <row r="17">
      <c r="C17" s="45"/>
      <c r="I17" s="46"/>
      <c r="J17" s="46"/>
      <c r="K17" s="46"/>
    </row>
    <row r="18">
      <c r="C18" s="45"/>
      <c r="E18" s="45"/>
      <c r="F18" s="45"/>
      <c r="G18" s="45"/>
      <c r="H18" s="45"/>
      <c r="I18" s="47"/>
      <c r="J18" s="47"/>
      <c r="K18" s="47"/>
      <c r="L18" s="45"/>
      <c r="M18" s="45"/>
      <c r="N18" s="45"/>
    </row>
    <row r="19">
      <c r="C19" s="45"/>
      <c r="E19" s="45"/>
      <c r="I19" s="46"/>
      <c r="J19" s="46"/>
      <c r="K19" s="46"/>
      <c r="L19" s="46"/>
      <c r="M19" s="46"/>
    </row>
    <row r="20">
      <c r="C20" s="45"/>
      <c r="E20" s="45"/>
      <c r="I20" s="46"/>
      <c r="J20" s="46"/>
      <c r="K20" s="46"/>
      <c r="L20" s="46"/>
      <c r="M20" s="46"/>
    </row>
    <row r="21">
      <c r="C21" s="45"/>
      <c r="E21" s="45"/>
      <c r="I21" s="46"/>
      <c r="J21" s="46"/>
      <c r="K21" s="46"/>
      <c r="L21" s="46"/>
      <c r="M21" s="46"/>
    </row>
    <row r="22">
      <c r="C22" s="45"/>
      <c r="E22" s="45"/>
      <c r="I22" s="46"/>
      <c r="J22" s="46"/>
      <c r="K22" s="46"/>
      <c r="L22" s="46"/>
      <c r="M22" s="46"/>
    </row>
    <row r="23">
      <c r="E23" s="45"/>
      <c r="K23" s="46"/>
      <c r="L23" s="46"/>
      <c r="M23" s="46"/>
    </row>
    <row r="24">
      <c r="E24" s="45"/>
      <c r="K24" s="46"/>
      <c r="L24" s="46"/>
      <c r="M24" s="46"/>
    </row>
  </sheetData>
  <mergeCells count="1">
    <mergeCell ref="B1:AK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4.13"/>
  </cols>
  <sheetData>
    <row r="1">
      <c r="A1" s="1" t="s">
        <v>128</v>
      </c>
      <c r="B1" s="1" t="s">
        <v>129</v>
      </c>
      <c r="C1" s="1" t="s">
        <v>130</v>
      </c>
    </row>
    <row r="2">
      <c r="A2" s="3" t="s">
        <v>131</v>
      </c>
      <c r="B2" s="3" t="s">
        <v>20</v>
      </c>
      <c r="C2" s="49" t="s">
        <v>132</v>
      </c>
    </row>
    <row r="3">
      <c r="A3" s="3" t="s">
        <v>131</v>
      </c>
      <c r="B3" s="3" t="s">
        <v>92</v>
      </c>
      <c r="C3" s="49" t="s">
        <v>133</v>
      </c>
    </row>
    <row r="4">
      <c r="A4" s="3" t="s">
        <v>134</v>
      </c>
      <c r="B4" s="3" t="s">
        <v>135</v>
      </c>
      <c r="C4" s="49" t="s">
        <v>136</v>
      </c>
    </row>
    <row r="5">
      <c r="A5" s="3" t="s">
        <v>134</v>
      </c>
      <c r="B5" s="3" t="s">
        <v>137</v>
      </c>
      <c r="C5" s="49" t="s">
        <v>138</v>
      </c>
    </row>
    <row r="6">
      <c r="A6" s="3" t="s">
        <v>134</v>
      </c>
      <c r="B6" s="3" t="s">
        <v>139</v>
      </c>
      <c r="C6" s="49" t="s">
        <v>140</v>
      </c>
    </row>
    <row r="7">
      <c r="A7" s="3" t="s">
        <v>134</v>
      </c>
      <c r="B7" s="3" t="s">
        <v>106</v>
      </c>
      <c r="C7" s="49" t="s">
        <v>141</v>
      </c>
    </row>
    <row r="8">
      <c r="A8" s="3" t="s">
        <v>134</v>
      </c>
      <c r="B8" s="3" t="s">
        <v>105</v>
      </c>
      <c r="C8" s="49" t="s">
        <v>142</v>
      </c>
    </row>
    <row r="9">
      <c r="A9" s="3" t="s">
        <v>134</v>
      </c>
      <c r="B9" s="3" t="s">
        <v>25</v>
      </c>
      <c r="C9" s="49" t="s">
        <v>143</v>
      </c>
    </row>
    <row r="10">
      <c r="A10" s="3" t="s">
        <v>134</v>
      </c>
      <c r="B10" s="3" t="s">
        <v>30</v>
      </c>
      <c r="C10" s="49" t="s">
        <v>144</v>
      </c>
    </row>
    <row r="11">
      <c r="A11" s="3" t="s">
        <v>134</v>
      </c>
      <c r="B11" s="3" t="s">
        <v>29</v>
      </c>
      <c r="C11" s="49" t="s">
        <v>145</v>
      </c>
    </row>
    <row r="12">
      <c r="A12" s="3" t="s">
        <v>146</v>
      </c>
      <c r="B12" s="3" t="s">
        <v>135</v>
      </c>
      <c r="C12" s="49" t="s">
        <v>147</v>
      </c>
    </row>
    <row r="13">
      <c r="A13" s="3" t="s">
        <v>146</v>
      </c>
      <c r="B13" s="3" t="s">
        <v>137</v>
      </c>
      <c r="C13" s="49" t="s">
        <v>148</v>
      </c>
    </row>
    <row r="14">
      <c r="A14" s="3" t="s">
        <v>146</v>
      </c>
      <c r="B14" s="3" t="s">
        <v>139</v>
      </c>
      <c r="C14" s="49" t="s">
        <v>149</v>
      </c>
    </row>
    <row r="15">
      <c r="A15" s="3" t="s">
        <v>146</v>
      </c>
      <c r="B15" s="3" t="s">
        <v>105</v>
      </c>
      <c r="C15" s="49" t="s">
        <v>150</v>
      </c>
    </row>
    <row r="16">
      <c r="A16" s="3" t="s">
        <v>146</v>
      </c>
      <c r="B16" s="3" t="s">
        <v>106</v>
      </c>
      <c r="C16" s="49" t="s">
        <v>151</v>
      </c>
    </row>
    <row r="17">
      <c r="A17" s="3" t="s">
        <v>146</v>
      </c>
      <c r="B17" s="3" t="s">
        <v>25</v>
      </c>
      <c r="C17" s="49" t="s">
        <v>152</v>
      </c>
    </row>
    <row r="18">
      <c r="A18" s="3" t="s">
        <v>146</v>
      </c>
      <c r="B18" s="3" t="s">
        <v>30</v>
      </c>
      <c r="C18" s="49" t="s">
        <v>153</v>
      </c>
    </row>
    <row r="19">
      <c r="A19" s="3" t="s">
        <v>146</v>
      </c>
      <c r="B19" s="3" t="s">
        <v>29</v>
      </c>
      <c r="C19" s="49" t="s">
        <v>145</v>
      </c>
    </row>
    <row r="20">
      <c r="A20" s="3" t="s">
        <v>80</v>
      </c>
      <c r="B20" s="3" t="s">
        <v>135</v>
      </c>
      <c r="C20" s="49" t="s">
        <v>154</v>
      </c>
    </row>
    <row r="21">
      <c r="A21" s="3" t="s">
        <v>80</v>
      </c>
      <c r="B21" s="3" t="s">
        <v>137</v>
      </c>
      <c r="C21" s="49" t="s">
        <v>155</v>
      </c>
    </row>
    <row r="22">
      <c r="A22" s="3" t="s">
        <v>80</v>
      </c>
      <c r="B22" s="3" t="s">
        <v>139</v>
      </c>
      <c r="C22" s="49" t="s">
        <v>156</v>
      </c>
    </row>
    <row r="23">
      <c r="A23" s="3" t="s">
        <v>80</v>
      </c>
      <c r="B23" s="3" t="s">
        <v>105</v>
      </c>
      <c r="C23" s="49" t="s">
        <v>157</v>
      </c>
    </row>
    <row r="24">
      <c r="A24" s="3" t="s">
        <v>80</v>
      </c>
      <c r="B24" s="3" t="s">
        <v>106</v>
      </c>
      <c r="C24" s="49" t="s">
        <v>158</v>
      </c>
    </row>
    <row r="25">
      <c r="A25" s="3" t="s">
        <v>80</v>
      </c>
      <c r="B25" s="3" t="s">
        <v>25</v>
      </c>
      <c r="C25" s="49" t="s">
        <v>159</v>
      </c>
    </row>
    <row r="26">
      <c r="A26" s="3" t="s">
        <v>80</v>
      </c>
      <c r="B26" s="3" t="s">
        <v>29</v>
      </c>
      <c r="C26" s="49" t="s">
        <v>160</v>
      </c>
    </row>
    <row r="27">
      <c r="A27" s="3" t="s">
        <v>80</v>
      </c>
      <c r="B27" s="3" t="s">
        <v>30</v>
      </c>
      <c r="C27" s="49" t="s">
        <v>161</v>
      </c>
    </row>
    <row r="28">
      <c r="A28" s="3" t="s">
        <v>162</v>
      </c>
      <c r="B28" s="3" t="s">
        <v>135</v>
      </c>
      <c r="C28" s="49" t="s">
        <v>163</v>
      </c>
    </row>
    <row r="29">
      <c r="A29" s="3" t="s">
        <v>162</v>
      </c>
      <c r="B29" s="3" t="s">
        <v>137</v>
      </c>
      <c r="C29" s="49" t="s">
        <v>164</v>
      </c>
    </row>
    <row r="30">
      <c r="A30" s="3" t="s">
        <v>162</v>
      </c>
      <c r="B30" s="3" t="s">
        <v>139</v>
      </c>
      <c r="C30" s="49" t="s">
        <v>165</v>
      </c>
    </row>
    <row r="31">
      <c r="A31" s="3" t="s">
        <v>162</v>
      </c>
      <c r="B31" s="3" t="s">
        <v>105</v>
      </c>
      <c r="C31" s="49" t="s">
        <v>166</v>
      </c>
    </row>
    <row r="32">
      <c r="A32" s="3" t="s">
        <v>162</v>
      </c>
      <c r="B32" s="3" t="s">
        <v>106</v>
      </c>
      <c r="C32" s="49" t="s">
        <v>167</v>
      </c>
    </row>
    <row r="33">
      <c r="A33" s="3" t="s">
        <v>162</v>
      </c>
      <c r="B33" s="3" t="s">
        <v>25</v>
      </c>
      <c r="C33" s="49" t="s">
        <v>168</v>
      </c>
    </row>
    <row r="34">
      <c r="A34" s="3" t="s">
        <v>162</v>
      </c>
      <c r="B34" s="3" t="s">
        <v>29</v>
      </c>
      <c r="C34" s="49" t="s">
        <v>169</v>
      </c>
    </row>
    <row r="35">
      <c r="A35" s="3" t="s">
        <v>162</v>
      </c>
      <c r="B35" s="3" t="s">
        <v>30</v>
      </c>
      <c r="C35" s="49" t="s">
        <v>170</v>
      </c>
    </row>
    <row r="36">
      <c r="C36" s="50"/>
    </row>
  </sheetData>
  <hyperlinks>
    <hyperlink r:id="rId1" ref="C2"/>
    <hyperlink r:id="rId2" ref="C3"/>
    <hyperlink r:id="rId3" ref="C4"/>
    <hyperlink r:id="rId4" ref="C5"/>
    <hyperlink r:id="rId5" ref="C6"/>
    <hyperlink r:id="rId6" ref="C7"/>
    <hyperlink r:id="rId7" ref="C8"/>
    <hyperlink r:id="rId8" ref="C9"/>
    <hyperlink r:id="rId9" ref="C10"/>
    <hyperlink r:id="rId10" location="/countries/IND" ref="C11"/>
    <hyperlink r:id="rId11" ref="C12"/>
    <hyperlink r:id="rId12" ref="C13"/>
    <hyperlink r:id="rId13" ref="C14"/>
    <hyperlink r:id="rId14" ref="C15"/>
    <hyperlink r:id="rId15" ref="C16"/>
    <hyperlink r:id="rId16" ref="C17"/>
    <hyperlink r:id="rId17" ref="C18"/>
    <hyperlink r:id="rId18" location="/countries/USA" ref="C19"/>
    <hyperlink r:id="rId19" ref="C20"/>
    <hyperlink r:id="rId20" ref="C21"/>
    <hyperlink r:id="rId21" location="export-statistics"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s>
  <drawing r:id="rId35"/>
</worksheet>
</file>