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Projects\Personal\Working on It\Eco\finalproduct\data\Mastersheet\"/>
    </mc:Choice>
  </mc:AlternateContent>
  <xr:revisionPtr revIDLastSave="0" documentId="13_ncr:1_{C6D3123B-6BA0-4462-B3D0-5F6ECB2A4D87}" xr6:coauthVersionLast="47" xr6:coauthVersionMax="47" xr10:uidLastSave="{00000000-0000-0000-0000-000000000000}"/>
  <bookViews>
    <workbookView xWindow="-103" yWindow="-103" windowWidth="22149" windowHeight="13200" xr2:uid="{2116D8E6-2F5D-487C-BFCC-40A1D276CC80}"/>
  </bookViews>
  <sheets>
    <sheet name="MasterSheet_WithPredictive" sheetId="1" r:id="rId1"/>
    <sheet name="Preprocessing1" sheetId="3" r:id="rId2"/>
    <sheet name="Preprocessing2" sheetId="6" r:id="rId3"/>
    <sheet name="RESILIENCE" sheetId="4" r:id="rId4"/>
    <sheet name="AFFORDIBILITY" sheetId="5" r:id="rId5"/>
    <sheet name="G20+3 Countries" sheetId="2" r:id="rId6"/>
  </sheets>
  <definedNames>
    <definedName name="_xlnm._FilterDatabase" localSheetId="5" hidden="1">'G20+3 Countries'!$B$5:$F$27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4" i="1" l="1"/>
  <c r="G4" i="2"/>
  <c r="AN2" i="1"/>
  <c r="D7" i="2" l="1"/>
  <c r="D8" i="2"/>
  <c r="D9" i="2"/>
  <c r="D10" i="2"/>
  <c r="D11" i="2"/>
  <c r="D12" i="2"/>
  <c r="D13" i="2"/>
  <c r="D14" i="2"/>
  <c r="D15" i="2"/>
  <c r="D16" i="2"/>
  <c r="D17" i="2"/>
  <c r="D18" i="2"/>
  <c r="D19" i="2"/>
  <c r="D20" i="2"/>
  <c r="D21" i="2"/>
  <c r="D22" i="2"/>
  <c r="D23" i="2"/>
  <c r="D24" i="2"/>
  <c r="D25" i="2"/>
  <c r="D26" i="2"/>
  <c r="D27" i="2"/>
  <c r="D6" i="2"/>
  <c r="B1" i="3"/>
  <c r="A3" i="1"/>
  <c r="L17" i="5" s="1"/>
  <c r="A4" i="1"/>
  <c r="C17" i="5" s="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 i="1"/>
  <c r="K20" i="5" s="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B4" i="2"/>
  <c r="K20" i="4" l="1"/>
  <c r="I2" i="5"/>
  <c r="D17" i="5"/>
  <c r="G2" i="5"/>
  <c r="K17" i="5"/>
  <c r="I17" i="5"/>
  <c r="C3" i="5"/>
  <c r="K3" i="5"/>
  <c r="H4" i="5"/>
  <c r="E5" i="5"/>
  <c r="M5" i="5"/>
  <c r="J6" i="5"/>
  <c r="G7" i="5"/>
  <c r="D8" i="5"/>
  <c r="L8" i="5"/>
  <c r="I9" i="5"/>
  <c r="F10" i="5"/>
  <c r="C11" i="5"/>
  <c r="K11" i="5"/>
  <c r="H12" i="5"/>
  <c r="E13" i="5"/>
  <c r="M13" i="5"/>
  <c r="J14" i="5"/>
  <c r="G15" i="5"/>
  <c r="D16" i="5"/>
  <c r="L16" i="5"/>
  <c r="D18" i="5"/>
  <c r="L18" i="5"/>
  <c r="I19" i="5"/>
  <c r="F20" i="5"/>
  <c r="F21" i="5"/>
  <c r="C22" i="5"/>
  <c r="K22" i="5"/>
  <c r="H23" i="5"/>
  <c r="B5" i="5"/>
  <c r="B13" i="5"/>
  <c r="B21" i="5"/>
  <c r="J2" i="4"/>
  <c r="H3" i="4"/>
  <c r="F4" i="4"/>
  <c r="D5" i="4"/>
  <c r="L5" i="4"/>
  <c r="J6" i="4"/>
  <c r="H7" i="4"/>
  <c r="F8" i="4"/>
  <c r="D9" i="4"/>
  <c r="L9" i="4"/>
  <c r="H11" i="4"/>
  <c r="D13" i="4"/>
  <c r="J14" i="4"/>
  <c r="F16" i="4"/>
  <c r="E18" i="4"/>
  <c r="K19" i="4"/>
  <c r="J21" i="4"/>
  <c r="F23" i="4"/>
  <c r="C11" i="4"/>
  <c r="B5" i="4"/>
  <c r="B21" i="4"/>
  <c r="B6" i="4"/>
  <c r="J22" i="4"/>
  <c r="C21" i="4"/>
  <c r="G10" i="4"/>
  <c r="E15" i="4"/>
  <c r="F20" i="4"/>
  <c r="C16" i="4"/>
  <c r="F4" i="5"/>
  <c r="J16" i="5"/>
  <c r="F23" i="5"/>
  <c r="C2" i="5"/>
  <c r="D3" i="5"/>
  <c r="L3" i="5"/>
  <c r="I4" i="5"/>
  <c r="F5" i="5"/>
  <c r="C6" i="5"/>
  <c r="K6" i="5"/>
  <c r="H7" i="5"/>
  <c r="E8" i="5"/>
  <c r="M8" i="5"/>
  <c r="J9" i="5"/>
  <c r="G10" i="5"/>
  <c r="D11" i="5"/>
  <c r="L11" i="5"/>
  <c r="I12" i="5"/>
  <c r="F13" i="5"/>
  <c r="C14" i="5"/>
  <c r="K14" i="5"/>
  <c r="H15" i="5"/>
  <c r="E16" i="5"/>
  <c r="M16" i="5"/>
  <c r="E18" i="5"/>
  <c r="M18" i="5"/>
  <c r="J19" i="5"/>
  <c r="G20" i="5"/>
  <c r="G21" i="5"/>
  <c r="D22" i="5"/>
  <c r="L22" i="5"/>
  <c r="I23" i="5"/>
  <c r="B6" i="5"/>
  <c r="B14" i="5"/>
  <c r="B22" i="5"/>
  <c r="K2" i="4"/>
  <c r="I3" i="4"/>
  <c r="G4" i="4"/>
  <c r="E5" i="4"/>
  <c r="M5" i="4"/>
  <c r="K6" i="4"/>
  <c r="I7" i="4"/>
  <c r="G8" i="4"/>
  <c r="E9" i="4"/>
  <c r="M9" i="4"/>
  <c r="K10" i="4"/>
  <c r="I11" i="4"/>
  <c r="G12" i="4"/>
  <c r="E13" i="4"/>
  <c r="M13" i="4"/>
  <c r="K14" i="4"/>
  <c r="I15" i="4"/>
  <c r="G16" i="4"/>
  <c r="E17" i="4"/>
  <c r="F18" i="4"/>
  <c r="D19" i="4"/>
  <c r="L19" i="4"/>
  <c r="J20" i="4"/>
  <c r="K21" i="4"/>
  <c r="I22" i="4"/>
  <c r="G23" i="4"/>
  <c r="C4" i="4"/>
  <c r="C20" i="4"/>
  <c r="B22" i="4"/>
  <c r="C13" i="4"/>
  <c r="B15" i="4"/>
  <c r="M11" i="4"/>
  <c r="K16" i="4"/>
  <c r="G21" i="4"/>
  <c r="C2" i="4"/>
  <c r="K5" i="5"/>
  <c r="I11" i="5"/>
  <c r="M15" i="5"/>
  <c r="D20" i="5"/>
  <c r="D2" i="5"/>
  <c r="E3" i="5"/>
  <c r="M3" i="5"/>
  <c r="J4" i="5"/>
  <c r="G5" i="5"/>
  <c r="D6" i="5"/>
  <c r="L6" i="5"/>
  <c r="I7" i="5"/>
  <c r="F8" i="5"/>
  <c r="C9" i="5"/>
  <c r="K9" i="5"/>
  <c r="H10" i="5"/>
  <c r="E11" i="5"/>
  <c r="M11" i="5"/>
  <c r="J12" i="5"/>
  <c r="G13" i="5"/>
  <c r="D14" i="5"/>
  <c r="L14" i="5"/>
  <c r="I15" i="5"/>
  <c r="F16" i="5"/>
  <c r="E17" i="5"/>
  <c r="F18" i="5"/>
  <c r="C19" i="5"/>
  <c r="K19" i="5"/>
  <c r="H20" i="5"/>
  <c r="H21" i="5"/>
  <c r="E22" i="5"/>
  <c r="M22" i="5"/>
  <c r="J23" i="5"/>
  <c r="B7" i="5"/>
  <c r="B15" i="5"/>
  <c r="B23" i="5"/>
  <c r="L2" i="4"/>
  <c r="J3" i="4"/>
  <c r="H4" i="4"/>
  <c r="F5" i="4"/>
  <c r="D6" i="4"/>
  <c r="L6" i="4"/>
  <c r="J7" i="4"/>
  <c r="H8" i="4"/>
  <c r="F9" i="4"/>
  <c r="D10" i="4"/>
  <c r="L10" i="4"/>
  <c r="J11" i="4"/>
  <c r="H12" i="4"/>
  <c r="F13" i="4"/>
  <c r="D14" i="4"/>
  <c r="L14" i="4"/>
  <c r="J15" i="4"/>
  <c r="H16" i="4"/>
  <c r="F17" i="4"/>
  <c r="G18" i="4"/>
  <c r="E19" i="4"/>
  <c r="M19" i="4"/>
  <c r="D21" i="4"/>
  <c r="L21" i="4"/>
  <c r="C5" i="4"/>
  <c r="B4" i="4"/>
  <c r="K12" i="4"/>
  <c r="H19" i="4"/>
  <c r="C8" i="4"/>
  <c r="C5" i="5"/>
  <c r="G9" i="5"/>
  <c r="C13" i="5"/>
  <c r="J18" i="5"/>
  <c r="E2" i="5"/>
  <c r="F3" i="5"/>
  <c r="C4" i="5"/>
  <c r="K4" i="5"/>
  <c r="H5" i="5"/>
  <c r="E6" i="5"/>
  <c r="M6" i="5"/>
  <c r="J7" i="5"/>
  <c r="G8" i="5"/>
  <c r="D9" i="5"/>
  <c r="L9" i="5"/>
  <c r="I10" i="5"/>
  <c r="F11" i="5"/>
  <c r="C12" i="5"/>
  <c r="K12" i="5"/>
  <c r="H13" i="5"/>
  <c r="E14" i="5"/>
  <c r="M14" i="5"/>
  <c r="J15" i="5"/>
  <c r="G16" i="5"/>
  <c r="F17" i="5"/>
  <c r="G18" i="5"/>
  <c r="D19" i="5"/>
  <c r="L19" i="5"/>
  <c r="L20" i="5"/>
  <c r="I21" i="5"/>
  <c r="F22" i="5"/>
  <c r="C23" i="5"/>
  <c r="K23" i="5"/>
  <c r="B8" i="5"/>
  <c r="B16" i="5"/>
  <c r="B2" i="5"/>
  <c r="M2" i="4"/>
  <c r="K3" i="4"/>
  <c r="I4" i="4"/>
  <c r="G5" i="4"/>
  <c r="E6" i="4"/>
  <c r="M6" i="4"/>
  <c r="K7" i="4"/>
  <c r="I8" i="4"/>
  <c r="G9" i="4"/>
  <c r="E10" i="4"/>
  <c r="M10" i="4"/>
  <c r="K11" i="4"/>
  <c r="I12" i="4"/>
  <c r="G13" i="4"/>
  <c r="E14" i="4"/>
  <c r="M14" i="4"/>
  <c r="K15" i="4"/>
  <c r="I16" i="4"/>
  <c r="G17" i="4"/>
  <c r="H18" i="4"/>
  <c r="F19" i="4"/>
  <c r="D20" i="4"/>
  <c r="E21" i="4"/>
  <c r="M21" i="4"/>
  <c r="K22" i="4"/>
  <c r="I23" i="4"/>
  <c r="C6" i="4"/>
  <c r="C14" i="4"/>
  <c r="C22" i="4"/>
  <c r="B8" i="4"/>
  <c r="B16" i="4"/>
  <c r="B9" i="4"/>
  <c r="L2" i="5"/>
  <c r="J8" i="5"/>
  <c r="L10" i="5"/>
  <c r="E15" i="5"/>
  <c r="L21" i="5"/>
  <c r="J2" i="5"/>
  <c r="G3" i="5"/>
  <c r="D4" i="5"/>
  <c r="L4" i="5"/>
  <c r="I5" i="5"/>
  <c r="F6" i="5"/>
  <c r="C7" i="5"/>
  <c r="K7" i="5"/>
  <c r="H8" i="5"/>
  <c r="E9" i="5"/>
  <c r="M9" i="5"/>
  <c r="J10" i="5"/>
  <c r="G11" i="5"/>
  <c r="D12" i="5"/>
  <c r="L12" i="5"/>
  <c r="I13" i="5"/>
  <c r="F14" i="5"/>
  <c r="C15" i="5"/>
  <c r="K15" i="5"/>
  <c r="H16" i="5"/>
  <c r="G17" i="5"/>
  <c r="H18" i="5"/>
  <c r="E19" i="5"/>
  <c r="M19" i="5"/>
  <c r="M20" i="5"/>
  <c r="J21" i="5"/>
  <c r="G22" i="5"/>
  <c r="D23" i="5"/>
  <c r="L23" i="5"/>
  <c r="B9" i="5"/>
  <c r="B17" i="5"/>
  <c r="B2" i="4"/>
  <c r="D3" i="4"/>
  <c r="L3" i="4"/>
  <c r="J4" i="4"/>
  <c r="H5" i="4"/>
  <c r="F6" i="4"/>
  <c r="D7" i="4"/>
  <c r="L7" i="4"/>
  <c r="J8" i="4"/>
  <c r="H9" i="4"/>
  <c r="F10" i="4"/>
  <c r="D11" i="4"/>
  <c r="L11" i="4"/>
  <c r="J12" i="4"/>
  <c r="H13" i="4"/>
  <c r="F14" i="4"/>
  <c r="D15" i="4"/>
  <c r="L15" i="4"/>
  <c r="J16" i="4"/>
  <c r="H17" i="4"/>
  <c r="I18" i="4"/>
  <c r="G19" i="4"/>
  <c r="E20" i="4"/>
  <c r="F21" i="4"/>
  <c r="D22" i="4"/>
  <c r="L22" i="4"/>
  <c r="J23" i="4"/>
  <c r="C7" i="4"/>
  <c r="C15" i="4"/>
  <c r="C23" i="4"/>
  <c r="B17" i="4"/>
  <c r="F9" i="5"/>
  <c r="M12" i="5"/>
  <c r="G14" i="5"/>
  <c r="L15" i="5"/>
  <c r="H17" i="5"/>
  <c r="F19" i="5"/>
  <c r="C21" i="5"/>
  <c r="H22" i="5"/>
  <c r="M23" i="5"/>
  <c r="D2" i="4"/>
  <c r="M3" i="4"/>
  <c r="I5" i="4"/>
  <c r="E7" i="4"/>
  <c r="K8" i="4"/>
  <c r="I13" i="4"/>
  <c r="L17" i="4"/>
  <c r="M22" i="4"/>
  <c r="B18" i="4"/>
  <c r="E7" i="5"/>
  <c r="K13" i="5"/>
  <c r="G19" i="5"/>
  <c r="K2" i="5"/>
  <c r="H3" i="5"/>
  <c r="E4" i="5"/>
  <c r="M4" i="5"/>
  <c r="J5" i="5"/>
  <c r="G6" i="5"/>
  <c r="D7" i="5"/>
  <c r="L7" i="5"/>
  <c r="I8" i="5"/>
  <c r="C10" i="5"/>
  <c r="K10" i="5"/>
  <c r="H11" i="5"/>
  <c r="E12" i="5"/>
  <c r="J13" i="5"/>
  <c r="D15" i="5"/>
  <c r="I16" i="5"/>
  <c r="I18" i="5"/>
  <c r="C20" i="5"/>
  <c r="K21" i="5"/>
  <c r="E23" i="5"/>
  <c r="B10" i="5"/>
  <c r="B18" i="5"/>
  <c r="E3" i="4"/>
  <c r="K4" i="4"/>
  <c r="G6" i="4"/>
  <c r="M7" i="4"/>
  <c r="I9" i="4"/>
  <c r="G14" i="4"/>
  <c r="J18" i="4"/>
  <c r="K23" i="4"/>
  <c r="I3" i="5"/>
  <c r="M7" i="5"/>
  <c r="D10" i="5"/>
  <c r="H14" i="5"/>
  <c r="D21" i="5"/>
  <c r="M2" i="5"/>
  <c r="J3" i="5"/>
  <c r="G4" i="5"/>
  <c r="D5" i="5"/>
  <c r="L5" i="5"/>
  <c r="I6" i="5"/>
  <c r="F7" i="5"/>
  <c r="C8" i="5"/>
  <c r="K8" i="5"/>
  <c r="H9" i="5"/>
  <c r="E10" i="5"/>
  <c r="M10" i="5"/>
  <c r="J11" i="5"/>
  <c r="G12" i="5"/>
  <c r="D13" i="5"/>
  <c r="L13" i="5"/>
  <c r="I14" i="5"/>
  <c r="F15" i="5"/>
  <c r="C16" i="5"/>
  <c r="K16" i="5"/>
  <c r="C18" i="5"/>
  <c r="K18" i="5"/>
  <c r="H19" i="5"/>
  <c r="E20" i="5"/>
  <c r="E21" i="5"/>
  <c r="M21" i="5"/>
  <c r="J22" i="5"/>
  <c r="G23" i="5"/>
  <c r="B4" i="5"/>
  <c r="B12" i="5"/>
  <c r="B20" i="5"/>
  <c r="F2" i="4"/>
  <c r="G3" i="4"/>
  <c r="E4" i="4"/>
  <c r="M4" i="4"/>
  <c r="K5" i="4"/>
  <c r="I6" i="4"/>
  <c r="G7" i="4"/>
  <c r="E8" i="4"/>
  <c r="M8" i="4"/>
  <c r="K9" i="4"/>
  <c r="I10" i="4"/>
  <c r="G11" i="4"/>
  <c r="E12" i="4"/>
  <c r="M12" i="4"/>
  <c r="K13" i="4"/>
  <c r="I14" i="4"/>
  <c r="G15" i="4"/>
  <c r="E16" i="4"/>
  <c r="M16" i="4"/>
  <c r="D18" i="4"/>
  <c r="L18" i="4"/>
  <c r="J19" i="4"/>
  <c r="H20" i="4"/>
  <c r="I21" i="4"/>
  <c r="G22" i="4"/>
  <c r="E23" i="4"/>
  <c r="M23" i="4"/>
  <c r="C10" i="4"/>
  <c r="C18" i="4"/>
  <c r="B23" i="4"/>
  <c r="B12" i="4"/>
  <c r="B20" i="4"/>
  <c r="J10" i="4"/>
  <c r="F12" i="4"/>
  <c r="L13" i="4"/>
  <c r="H15" i="4"/>
  <c r="D17" i="4"/>
  <c r="M18" i="4"/>
  <c r="I20" i="4"/>
  <c r="H22" i="4"/>
  <c r="C3" i="4"/>
  <c r="C19" i="4"/>
  <c r="B13" i="4"/>
  <c r="C12" i="4"/>
  <c r="B14" i="4"/>
  <c r="H23" i="4"/>
  <c r="B7" i="4"/>
  <c r="E11" i="4"/>
  <c r="M15" i="4"/>
  <c r="E22" i="4"/>
  <c r="B10" i="4"/>
  <c r="H6" i="5"/>
  <c r="F12" i="5"/>
  <c r="M17" i="5"/>
  <c r="L4" i="4"/>
  <c r="F11" i="4"/>
  <c r="M17" i="4"/>
  <c r="C9" i="4"/>
  <c r="K18" i="4"/>
  <c r="L8" i="4"/>
  <c r="D16" i="4"/>
  <c r="I22" i="5"/>
  <c r="J5" i="4"/>
  <c r="B3" i="5"/>
  <c r="H6" i="4"/>
  <c r="L12" i="4"/>
  <c r="I19" i="4"/>
  <c r="B3" i="4"/>
  <c r="E2" i="4"/>
  <c r="F3" i="4"/>
  <c r="B11" i="5"/>
  <c r="F7" i="4"/>
  <c r="J13" i="4"/>
  <c r="G20" i="4"/>
  <c r="B11" i="4"/>
  <c r="J9" i="4"/>
  <c r="B19" i="5"/>
  <c r="D8" i="4"/>
  <c r="H14" i="4"/>
  <c r="H21" i="4"/>
  <c r="B19" i="4"/>
  <c r="F15" i="4"/>
  <c r="D4" i="4"/>
  <c r="H10" i="4"/>
  <c r="L16" i="4"/>
  <c r="L23" i="4"/>
  <c r="D12" i="4"/>
  <c r="C17" i="4"/>
  <c r="F22" i="4"/>
  <c r="D23" i="4"/>
  <c r="J17" i="5"/>
  <c r="J20" i="5"/>
  <c r="I2" i="4"/>
  <c r="H2" i="5"/>
  <c r="I20" i="5"/>
  <c r="H2" i="4"/>
  <c r="K17" i="4"/>
  <c r="G2" i="4"/>
  <c r="J17" i="4"/>
  <c r="M20" i="4"/>
  <c r="I17" i="4"/>
  <c r="L20" i="4"/>
  <c r="F2" i="5"/>
  <c r="E6" i="3"/>
  <c r="B1" i="6"/>
  <c r="A3" i="3"/>
  <c r="A3" i="6"/>
  <c r="G22" i="3"/>
  <c r="F23" i="2" s="1"/>
  <c r="G13" i="3"/>
  <c r="F14" i="2" s="1"/>
  <c r="G24" i="3"/>
  <c r="F25" i="2" s="1"/>
  <c r="F14" i="3"/>
  <c r="E15" i="2" s="1"/>
  <c r="F11" i="3"/>
  <c r="E12" i="2" s="1"/>
  <c r="G12" i="3"/>
  <c r="F13" i="2" s="1"/>
  <c r="F10" i="3"/>
  <c r="E11" i="2" s="1"/>
  <c r="F24" i="3"/>
  <c r="E25" i="2" s="1"/>
  <c r="G23" i="3"/>
  <c r="F24" i="2" s="1"/>
  <c r="F23" i="3"/>
  <c r="E24" i="2" s="1"/>
  <c r="F22" i="3"/>
  <c r="E23" i="2" s="1"/>
  <c r="G21" i="3"/>
  <c r="F22" i="2" s="1"/>
  <c r="F19" i="3"/>
  <c r="E20" i="2" s="1"/>
  <c r="G14" i="3"/>
  <c r="F15" i="2" s="1"/>
  <c r="F9" i="3"/>
  <c r="E10" i="2" s="1"/>
  <c r="G9" i="3"/>
  <c r="F10" i="2" s="1"/>
  <c r="F18" i="3"/>
  <c r="E19" i="2" s="1"/>
  <c r="F8" i="3"/>
  <c r="E9" i="2" s="1"/>
  <c r="G20" i="3"/>
  <c r="F21" i="2" s="1"/>
  <c r="G8" i="3"/>
  <c r="F9" i="2" s="1"/>
  <c r="F5" i="3"/>
  <c r="E6" i="2" s="1"/>
  <c r="F17" i="3"/>
  <c r="E18" i="2" s="1"/>
  <c r="F7" i="3"/>
  <c r="E8" i="2" s="1"/>
  <c r="G17" i="3"/>
  <c r="F18" i="2" s="1"/>
  <c r="G7" i="3"/>
  <c r="F8" i="2" s="1"/>
  <c r="F26" i="3"/>
  <c r="E27" i="2" s="1"/>
  <c r="F16" i="3"/>
  <c r="E17" i="2" s="1"/>
  <c r="F6" i="3"/>
  <c r="E7" i="2" s="1"/>
  <c r="G16" i="3"/>
  <c r="F17" i="2" s="1"/>
  <c r="G6" i="3"/>
  <c r="F7" i="2" s="1"/>
  <c r="F25" i="3"/>
  <c r="E26" i="2" s="1"/>
  <c r="F15" i="3"/>
  <c r="E16" i="2" s="1"/>
  <c r="G25" i="3"/>
  <c r="F26" i="2" s="1"/>
  <c r="G15" i="3"/>
  <c r="F16" i="2" s="1"/>
  <c r="F21" i="3"/>
  <c r="E22" i="2" s="1"/>
  <c r="F13" i="3"/>
  <c r="E14" i="2" s="1"/>
  <c r="G5" i="3"/>
  <c r="F6" i="2" s="1"/>
  <c r="G19" i="3"/>
  <c r="F20" i="2" s="1"/>
  <c r="G11" i="3"/>
  <c r="F12" i="2" s="1"/>
  <c r="E5" i="3"/>
  <c r="F20" i="3"/>
  <c r="E21" i="2" s="1"/>
  <c r="F12" i="3"/>
  <c r="E13" i="2" s="1"/>
  <c r="G26" i="3"/>
  <c r="F27" i="2" s="1"/>
  <c r="G18" i="3"/>
  <c r="F19" i="2" s="1"/>
  <c r="G10" i="3"/>
  <c r="F11" i="2" s="1"/>
  <c r="E21" i="3"/>
  <c r="E13" i="3"/>
  <c r="D12" i="3"/>
  <c r="E20" i="3"/>
  <c r="E12" i="3"/>
  <c r="E10" i="3"/>
  <c r="E25" i="3"/>
  <c r="E17" i="3"/>
  <c r="E9" i="3"/>
  <c r="E16" i="3"/>
  <c r="E8" i="3"/>
  <c r="E19" i="3"/>
  <c r="E26" i="3"/>
  <c r="E24" i="3"/>
  <c r="E23" i="3"/>
  <c r="E15" i="3"/>
  <c r="E7" i="3"/>
  <c r="E11" i="3"/>
  <c r="E18" i="3"/>
  <c r="E22" i="3"/>
  <c r="E14" i="3"/>
  <c r="D15" i="3"/>
  <c r="D16" i="3"/>
  <c r="D18" i="3"/>
  <c r="D7" i="3"/>
  <c r="D11" i="3"/>
  <c r="D9" i="3"/>
  <c r="D13" i="3"/>
  <c r="D24" i="3"/>
  <c r="D26" i="3"/>
  <c r="D6" i="3"/>
  <c r="D22" i="3"/>
  <c r="D25" i="3"/>
  <c r="D14" i="3"/>
  <c r="D21" i="3"/>
  <c r="D20" i="3"/>
  <c r="D19" i="3"/>
  <c r="D5" i="3"/>
  <c r="D10" i="3"/>
  <c r="D17" i="3"/>
  <c r="D8" i="3"/>
  <c r="D23" i="3"/>
  <c r="G26" i="6" l="1"/>
  <c r="E24" i="6"/>
  <c r="F11" i="6"/>
  <c r="G14" i="6"/>
  <c r="E21" i="6"/>
  <c r="E11" i="6"/>
  <c r="F14" i="6"/>
  <c r="D21" i="6"/>
  <c r="G10" i="6"/>
  <c r="D18" i="6"/>
  <c r="G8" i="6"/>
  <c r="E5" i="6"/>
  <c r="G17" i="6"/>
  <c r="E8" i="6"/>
  <c r="G24" i="6"/>
  <c r="D14" i="6"/>
  <c r="D5" i="6"/>
  <c r="F7" i="6"/>
  <c r="D9" i="6"/>
  <c r="E25" i="6"/>
  <c r="F22" i="6"/>
  <c r="F19" i="6"/>
  <c r="D17" i="6"/>
  <c r="D8" i="6"/>
  <c r="D24" i="6"/>
  <c r="D19" i="6"/>
  <c r="D25" i="6"/>
  <c r="E12" i="6"/>
  <c r="G25" i="6"/>
  <c r="G22" i="6"/>
  <c r="E20" i="6"/>
  <c r="F9" i="6"/>
  <c r="F25" i="6"/>
  <c r="F20" i="6"/>
  <c r="G15" i="6"/>
  <c r="E9" i="6"/>
  <c r="F26" i="6"/>
  <c r="F8" i="6"/>
  <c r="G19" i="6"/>
  <c r="G12" i="6"/>
  <c r="E17" i="6"/>
  <c r="D11" i="6"/>
  <c r="E22" i="6"/>
  <c r="D6" i="6"/>
  <c r="G21" i="6"/>
  <c r="G5" i="6"/>
  <c r="D26" i="6"/>
  <c r="E23" i="6"/>
  <c r="D12" i="6"/>
  <c r="D7" i="6"/>
  <c r="D23" i="6"/>
  <c r="E18" i="6"/>
  <c r="F6" i="6"/>
  <c r="F18" i="6"/>
  <c r="E15" i="6"/>
  <c r="F13" i="6"/>
  <c r="F24" i="6"/>
  <c r="G9" i="6"/>
  <c r="E26" i="6"/>
  <c r="D16" i="6"/>
  <c r="E6" i="6"/>
  <c r="G6" i="6"/>
  <c r="G11" i="6"/>
  <c r="F15" i="6"/>
  <c r="D13" i="6"/>
  <c r="D10" i="6"/>
  <c r="E7" i="6"/>
  <c r="G20" i="6"/>
  <c r="F17" i="6"/>
  <c r="F12" i="6"/>
  <c r="G7" i="6"/>
  <c r="G23" i="6"/>
  <c r="G18" i="6"/>
  <c r="E16" i="6"/>
  <c r="E13" i="6"/>
  <c r="F10" i="6"/>
  <c r="F23" i="6"/>
  <c r="D20" i="6"/>
  <c r="D15" i="6"/>
  <c r="E10" i="6"/>
  <c r="D22" i="6"/>
  <c r="E19" i="6"/>
  <c r="G16" i="6"/>
  <c r="G13" i="6"/>
  <c r="F5" i="6"/>
  <c r="F21" i="6"/>
  <c r="F16" i="6"/>
  <c r="E14" i="6"/>
  <c r="A5" i="3"/>
  <c r="B6" i="2" s="1"/>
  <c r="B5" i="3"/>
  <c r="C6" i="2" s="1"/>
  <c r="B18" i="3"/>
  <c r="C19" i="2" s="1"/>
  <c r="A21" i="3"/>
  <c r="B22" i="2" s="1"/>
  <c r="A23" i="3"/>
  <c r="B24" i="2" s="1"/>
  <c r="A11" i="3"/>
  <c r="B12" i="2" s="1"/>
  <c r="B16" i="3"/>
  <c r="C17" i="2" s="1"/>
  <c r="B13" i="3"/>
  <c r="C14" i="2" s="1"/>
  <c r="A25" i="3"/>
  <c r="B26" i="2" s="1"/>
  <c r="B7" i="3"/>
  <c r="C8" i="2" s="1"/>
  <c r="B21" i="3"/>
  <c r="C22" i="2" s="1"/>
  <c r="A17" i="3"/>
  <c r="B18" i="2" s="1"/>
  <c r="A18" i="3"/>
  <c r="B19" i="2" s="1"/>
  <c r="B17" i="3"/>
  <c r="C18" i="2" s="1"/>
  <c r="A6" i="3"/>
  <c r="B7" i="2" s="1"/>
  <c r="B23" i="3"/>
  <c r="C24" i="2" s="1"/>
  <c r="B25" i="3"/>
  <c r="C26" i="2" s="1"/>
  <c r="A15" i="3"/>
  <c r="B16" i="2" s="1"/>
  <c r="B10" i="3"/>
  <c r="C11" i="2" s="1"/>
  <c r="A19" i="3"/>
  <c r="B20" i="2" s="1"/>
  <c r="A24" i="3"/>
  <c r="B25" i="2" s="1"/>
  <c r="B14" i="3"/>
  <c r="C15" i="2" s="1"/>
  <c r="B26" i="3"/>
  <c r="C27" i="2" s="1"/>
  <c r="B12" i="3"/>
  <c r="C13" i="2" s="1"/>
  <c r="A9" i="3"/>
  <c r="B10" i="2" s="1"/>
  <c r="B8" i="3"/>
  <c r="C9" i="2" s="1"/>
  <c r="A12" i="3"/>
  <c r="B13" i="2" s="1"/>
  <c r="A14" i="3"/>
  <c r="B15" i="2" s="1"/>
  <c r="B11" i="3"/>
  <c r="C12" i="2" s="1"/>
  <c r="A8" i="3"/>
  <c r="B9" i="2" s="1"/>
  <c r="A7" i="3"/>
  <c r="B8" i="2" s="1"/>
  <c r="B9" i="3"/>
  <c r="C10" i="2" s="1"/>
  <c r="A22" i="3"/>
  <c r="B23" i="2" s="1"/>
  <c r="B15" i="3"/>
  <c r="C16" i="2" s="1"/>
  <c r="A10" i="3"/>
  <c r="B11" i="2" s="1"/>
  <c r="A16" i="3"/>
  <c r="B17" i="2" s="1"/>
  <c r="A26" i="3"/>
  <c r="B27" i="2" s="1"/>
  <c r="B24" i="3"/>
  <c r="C25" i="2" s="1"/>
  <c r="A20" i="3"/>
  <c r="B21" i="2" s="1"/>
  <c r="A13" i="3"/>
  <c r="B14" i="2" s="1"/>
  <c r="B22" i="3"/>
  <c r="C23" i="2" s="1"/>
  <c r="B19" i="3"/>
  <c r="C20" i="2" s="1"/>
  <c r="B20" i="3"/>
  <c r="C21" i="2" s="1"/>
  <c r="B6" i="3"/>
  <c r="C7" i="2" s="1"/>
  <c r="B14" i="6" l="1"/>
  <c r="A8" i="6"/>
  <c r="B10" i="6"/>
  <c r="B23" i="6"/>
  <c r="A21" i="6"/>
  <c r="A15" i="6"/>
  <c r="B15" i="6"/>
  <c r="A26" i="6"/>
  <c r="B20" i="6"/>
  <c r="A17" i="6"/>
  <c r="A14" i="6"/>
  <c r="A20" i="6"/>
  <c r="B8" i="6"/>
  <c r="B11" i="6"/>
  <c r="B21" i="6"/>
  <c r="A16" i="6"/>
  <c r="B18" i="6"/>
  <c r="A6" i="6"/>
  <c r="B9" i="6"/>
  <c r="B12" i="6"/>
  <c r="B25" i="6"/>
  <c r="B5" i="6"/>
  <c r="B13" i="6"/>
  <c r="B7" i="6"/>
  <c r="B26" i="6"/>
  <c r="A23" i="6"/>
  <c r="B22" i="6"/>
  <c r="A25" i="6"/>
  <c r="A9" i="6"/>
  <c r="B6" i="6"/>
  <c r="B19" i="6"/>
  <c r="B16" i="6"/>
  <c r="A10" i="6"/>
  <c r="A7" i="6"/>
  <c r="A11" i="6"/>
  <c r="A19" i="6"/>
  <c r="A18" i="6"/>
  <c r="B24" i="6"/>
  <c r="A22" i="6"/>
  <c r="A13" i="6"/>
  <c r="A12" i="6"/>
  <c r="B17" i="6"/>
  <c r="A24" i="6"/>
  <c r="A5" i="6"/>
  <c r="G21" i="2" l="1"/>
  <c r="G23" i="2"/>
  <c r="G11" i="2"/>
  <c r="G10" i="2"/>
  <c r="G27" i="2"/>
  <c r="G9" i="2"/>
  <c r="G18" i="2"/>
  <c r="G15" i="2"/>
  <c r="G6" i="2"/>
  <c r="G12" i="2"/>
  <c r="G25" i="2"/>
  <c r="G13" i="2"/>
  <c r="G24" i="2"/>
  <c r="G20" i="2"/>
  <c r="G16" i="2"/>
  <c r="G7" i="2"/>
  <c r="G14" i="2"/>
  <c r="G8" i="2"/>
  <c r="G17" i="2"/>
  <c r="G26" i="2"/>
  <c r="G19" i="2"/>
  <c r="G22" i="2"/>
</calcChain>
</file>

<file path=xl/sharedStrings.xml><?xml version="1.0" encoding="utf-8"?>
<sst xmlns="http://schemas.openxmlformats.org/spreadsheetml/2006/main" count="1234" uniqueCount="329">
  <si>
    <t>Year</t>
  </si>
  <si>
    <t>Global GDP</t>
  </si>
  <si>
    <t>Global_GDP_Growth</t>
  </si>
  <si>
    <t>Global Population</t>
  </si>
  <si>
    <t>Global_Population_Growth</t>
  </si>
  <si>
    <t>GDP</t>
  </si>
  <si>
    <t>GDP_Growth_Rate</t>
  </si>
  <si>
    <t>Country Population</t>
  </si>
  <si>
    <t>Country Population_Rate</t>
  </si>
  <si>
    <t>Global GDP %</t>
  </si>
  <si>
    <t>Import</t>
  </si>
  <si>
    <t>Export</t>
  </si>
  <si>
    <t>Trade Balance</t>
  </si>
  <si>
    <t>Trade Balance to GDP</t>
  </si>
  <si>
    <t>Debt to GDP</t>
  </si>
  <si>
    <t>Debt_to_GDP_Growth</t>
  </si>
  <si>
    <t>Debt</t>
  </si>
  <si>
    <t>Interest</t>
  </si>
  <si>
    <t>Interest Payment</t>
  </si>
  <si>
    <t>Interest Payment to GDP</t>
  </si>
  <si>
    <t>Inflation</t>
  </si>
  <si>
    <t>PCI</t>
  </si>
  <si>
    <t>Adjusted PCI</t>
  </si>
  <si>
    <t>HDI</t>
  </si>
  <si>
    <t>HDI_Growth</t>
  </si>
  <si>
    <t>Ginni</t>
  </si>
  <si>
    <t>Ginni_Growth</t>
  </si>
  <si>
    <t>Adjusted HDI</t>
  </si>
  <si>
    <t>Housing</t>
  </si>
  <si>
    <t>Health</t>
  </si>
  <si>
    <t>Energy</t>
  </si>
  <si>
    <t>Education</t>
  </si>
  <si>
    <t>Scio-Economic</t>
  </si>
  <si>
    <t>Heart Value</t>
  </si>
  <si>
    <t>Heart Affordibility Value</t>
  </si>
  <si>
    <t>Affordbility Ranking</t>
  </si>
  <si>
    <t>Heart Score</t>
  </si>
  <si>
    <t>Assumption</t>
  </si>
  <si>
    <t>D-</t>
  </si>
  <si>
    <t>0.1D-</t>
  </si>
  <si>
    <t>We will assume the 5 socio economic sector spending will increase by 5% every year, Socio Ecnomic Sectors are Health, Housing, Energy and Education. Based on this assumption we will predict the value of Heart next year</t>
  </si>
  <si>
    <t>India</t>
  </si>
  <si>
    <t>0.13D-</t>
  </si>
  <si>
    <t>0.14D-</t>
  </si>
  <si>
    <t>0.16D-</t>
  </si>
  <si>
    <t>0.15D-</t>
  </si>
  <si>
    <t>0.17D-</t>
  </si>
  <si>
    <t>0.18D-</t>
  </si>
  <si>
    <t>0.19D-</t>
  </si>
  <si>
    <t>0.2D-</t>
  </si>
  <si>
    <t>0.21D-</t>
  </si>
  <si>
    <t>0.22D-</t>
  </si>
  <si>
    <t>B+</t>
  </si>
  <si>
    <t>0.53B+</t>
  </si>
  <si>
    <t>0.57B+</t>
  </si>
  <si>
    <t>A-</t>
  </si>
  <si>
    <t>0.58A-</t>
  </si>
  <si>
    <t>0.59A-</t>
  </si>
  <si>
    <t>A</t>
  </si>
  <si>
    <t>0.58A</t>
  </si>
  <si>
    <t>0.6A</t>
  </si>
  <si>
    <t>0.65A</t>
  </si>
  <si>
    <t>A+</t>
  </si>
  <si>
    <t>0.67A+</t>
  </si>
  <si>
    <t>0.69A+</t>
  </si>
  <si>
    <t>0.71A+</t>
  </si>
  <si>
    <t>0.73A+</t>
  </si>
  <si>
    <t>B-</t>
  </si>
  <si>
    <t>0.31B-</t>
  </si>
  <si>
    <t>0.35B-</t>
  </si>
  <si>
    <t>B</t>
  </si>
  <si>
    <t>0.36B</t>
  </si>
  <si>
    <t>0.34B</t>
  </si>
  <si>
    <t>0.36B+</t>
  </si>
  <si>
    <t>0.39B+</t>
  </si>
  <si>
    <t>0.4A-</t>
  </si>
  <si>
    <t>0.41A-</t>
  </si>
  <si>
    <t>0.42A-</t>
  </si>
  <si>
    <t>0.43A</t>
  </si>
  <si>
    <t>0.34B-</t>
  </si>
  <si>
    <t>Japan</t>
  </si>
  <si>
    <t>0.36B-</t>
  </si>
  <si>
    <t>0.38B-</t>
  </si>
  <si>
    <t>0.39B-</t>
  </si>
  <si>
    <t>0.41B-</t>
  </si>
  <si>
    <t>C+</t>
  </si>
  <si>
    <t>0.43C+</t>
  </si>
  <si>
    <t>0.44C+</t>
  </si>
  <si>
    <t>0.46C+</t>
  </si>
  <si>
    <t>0.48C+</t>
  </si>
  <si>
    <t>D</t>
  </si>
  <si>
    <t>0.54D</t>
  </si>
  <si>
    <t>China</t>
  </si>
  <si>
    <t>0.59D</t>
  </si>
  <si>
    <t>D+</t>
  </si>
  <si>
    <t>0.62D+</t>
  </si>
  <si>
    <t>0.64D+</t>
  </si>
  <si>
    <t>0.67D+</t>
  </si>
  <si>
    <t>0.73D+</t>
  </si>
  <si>
    <t>0.75D+</t>
  </si>
  <si>
    <t>0.78D+</t>
  </si>
  <si>
    <t>0.81D+</t>
  </si>
  <si>
    <t>0.85D+</t>
  </si>
  <si>
    <t>0.88D+</t>
  </si>
  <si>
    <t>0.44B+</t>
  </si>
  <si>
    <t>Germany</t>
  </si>
  <si>
    <t>0.45B+</t>
  </si>
  <si>
    <t>0.46B+</t>
  </si>
  <si>
    <t>0.47B+</t>
  </si>
  <si>
    <t>0.5A-</t>
  </si>
  <si>
    <t>0.54A-</t>
  </si>
  <si>
    <t>0.53A-</t>
  </si>
  <si>
    <t>0.55A-</t>
  </si>
  <si>
    <t>0.57A</t>
  </si>
  <si>
    <t>0.59A</t>
  </si>
  <si>
    <t>0.61A</t>
  </si>
  <si>
    <t>0.3D-</t>
  </si>
  <si>
    <t>Indonesia</t>
  </si>
  <si>
    <t>0.33D-</t>
  </si>
  <si>
    <t>0.36D-</t>
  </si>
  <si>
    <t>0.39D-</t>
  </si>
  <si>
    <t>0.036693869999999996</t>
  </si>
  <si>
    <t>0.4D-</t>
  </si>
  <si>
    <t>0.43D-</t>
  </si>
  <si>
    <t>0.45D-</t>
  </si>
  <si>
    <t>0.48D-</t>
  </si>
  <si>
    <t>0.5D-</t>
  </si>
  <si>
    <t>0.52D-</t>
  </si>
  <si>
    <t>0.55D-</t>
  </si>
  <si>
    <t>0.25D-</t>
  </si>
  <si>
    <t>Brazil</t>
  </si>
  <si>
    <t>0.32D-</t>
  </si>
  <si>
    <t>0.28D-</t>
  </si>
  <si>
    <t>0.26D-</t>
  </si>
  <si>
    <t>0.31D</t>
  </si>
  <si>
    <t>0.33D</t>
  </si>
  <si>
    <t>0.35D</t>
  </si>
  <si>
    <t>0.36D</t>
  </si>
  <si>
    <t>0.38D</t>
  </si>
  <si>
    <t>0.4D</t>
  </si>
  <si>
    <t>0.25D</t>
  </si>
  <si>
    <t>Turkey</t>
  </si>
  <si>
    <t>0.24D</t>
  </si>
  <si>
    <t>0.2D</t>
  </si>
  <si>
    <t>0.26D</t>
  </si>
  <si>
    <t>0.28D</t>
  </si>
  <si>
    <t>0.3D+</t>
  </si>
  <si>
    <t>0.33D+</t>
  </si>
  <si>
    <t>Mexico</t>
  </si>
  <si>
    <t>0.3D</t>
  </si>
  <si>
    <t>0.29D</t>
  </si>
  <si>
    <t>0.32D+</t>
  </si>
  <si>
    <t>0.32D</t>
  </si>
  <si>
    <t>0.34D+</t>
  </si>
  <si>
    <t>0.35D+</t>
  </si>
  <si>
    <t>0.36D+</t>
  </si>
  <si>
    <t>0.38D+</t>
  </si>
  <si>
    <t>0.39D+</t>
  </si>
  <si>
    <t>0.44D+</t>
  </si>
  <si>
    <t>Russia</t>
  </si>
  <si>
    <t>0.44D</t>
  </si>
  <si>
    <t>0.5D+</t>
  </si>
  <si>
    <t>0.55D+</t>
  </si>
  <si>
    <t>0.49D+</t>
  </si>
  <si>
    <t>0.51D+</t>
  </si>
  <si>
    <t>0.56D+</t>
  </si>
  <si>
    <t>0.58D+</t>
  </si>
  <si>
    <t>0.6D+</t>
  </si>
  <si>
    <t>C-</t>
  </si>
  <si>
    <t>0.59C-</t>
  </si>
  <si>
    <t>0.54D+</t>
  </si>
  <si>
    <t>C</t>
  </si>
  <si>
    <t>0.64C</t>
  </si>
  <si>
    <t>0.74C+</t>
  </si>
  <si>
    <t>0.68C+</t>
  </si>
  <si>
    <t>0.69C+</t>
  </si>
  <si>
    <t>0.76C</t>
  </si>
  <si>
    <t>0.79C+</t>
  </si>
  <si>
    <t>0.82C+</t>
  </si>
  <si>
    <t>0.86C+</t>
  </si>
  <si>
    <t>0.89C+</t>
  </si>
  <si>
    <t>0.93C+</t>
  </si>
  <si>
    <t>0.27C+</t>
  </si>
  <si>
    <t>0.31C+</t>
  </si>
  <si>
    <t>0.33B-</t>
  </si>
  <si>
    <t>0.29C+</t>
  </si>
  <si>
    <t>0.37B-</t>
  </si>
  <si>
    <t>5.338844905e-05</t>
  </si>
  <si>
    <t>0.43B-</t>
  </si>
  <si>
    <t>0.45B-</t>
  </si>
  <si>
    <t>0.38C+</t>
  </si>
  <si>
    <t>Spain</t>
  </si>
  <si>
    <t>0.39C+</t>
  </si>
  <si>
    <t>0.41C+</t>
  </si>
  <si>
    <t>0.48B-</t>
  </si>
  <si>
    <t>0.51B-</t>
  </si>
  <si>
    <t>0.53B-</t>
  </si>
  <si>
    <t>0.56B</t>
  </si>
  <si>
    <t>0.58B</t>
  </si>
  <si>
    <t>0.32C+</t>
  </si>
  <si>
    <t>Italy</t>
  </si>
  <si>
    <t>0.35C+</t>
  </si>
  <si>
    <t>0.4B-</t>
  </si>
  <si>
    <t>0.44B-</t>
  </si>
  <si>
    <t>0.46B</t>
  </si>
  <si>
    <t>0.49B</t>
  </si>
  <si>
    <t>0.51B</t>
  </si>
  <si>
    <t>0.54B</t>
  </si>
  <si>
    <t>France</t>
  </si>
  <si>
    <t>0.41B</t>
  </si>
  <si>
    <t>0.39B</t>
  </si>
  <si>
    <t>0.44B</t>
  </si>
  <si>
    <t>0.45B</t>
  </si>
  <si>
    <t>0.47B</t>
  </si>
  <si>
    <t>0.48B+</t>
  </si>
  <si>
    <t>0.5B+</t>
  </si>
  <si>
    <t>0.52B+</t>
  </si>
  <si>
    <t>0.29B</t>
  </si>
  <si>
    <t>Canada</t>
  </si>
  <si>
    <t>0.31B</t>
  </si>
  <si>
    <t>0.35B+</t>
  </si>
  <si>
    <t>0.37B+</t>
  </si>
  <si>
    <t>0.41B+</t>
  </si>
  <si>
    <t>0.43A-</t>
  </si>
  <si>
    <t>0.45A-</t>
  </si>
  <si>
    <t>0.47A-</t>
  </si>
  <si>
    <t>0.49A-</t>
  </si>
  <si>
    <t>0.51A</t>
  </si>
  <si>
    <t>0.27B+</t>
  </si>
  <si>
    <t>Australia</t>
  </si>
  <si>
    <t>0.29B+</t>
  </si>
  <si>
    <t>0.3A-</t>
  </si>
  <si>
    <t>0.33A-</t>
  </si>
  <si>
    <t>0.34A-</t>
  </si>
  <si>
    <t>0.37A</t>
  </si>
  <si>
    <t>0.38A</t>
  </si>
  <si>
    <t>0.4A</t>
  </si>
  <si>
    <t>0.41A</t>
  </si>
  <si>
    <t>0.43B+</t>
  </si>
  <si>
    <t>Netherland</t>
  </si>
  <si>
    <t>0.46A-</t>
  </si>
  <si>
    <t>0.49A</t>
  </si>
  <si>
    <t>0.5A</t>
  </si>
  <si>
    <t>0.53A</t>
  </si>
  <si>
    <t>0.55A+</t>
  </si>
  <si>
    <t>0.57A+</t>
  </si>
  <si>
    <t>0.59A+</t>
  </si>
  <si>
    <t>0.62A+</t>
  </si>
  <si>
    <t>0.42A+</t>
  </si>
  <si>
    <t>0.4A+</t>
  </si>
  <si>
    <t>0.48A+</t>
  </si>
  <si>
    <t>0.52A+</t>
  </si>
  <si>
    <t>0.51A+</t>
  </si>
  <si>
    <t>0.64A+</t>
  </si>
  <si>
    <t>0.66A+</t>
  </si>
  <si>
    <t>0.01D-</t>
  </si>
  <si>
    <t>Argentina</t>
  </si>
  <si>
    <t>0.08D-</t>
  </si>
  <si>
    <t>0.05D-</t>
  </si>
  <si>
    <t>-0.75D-</t>
  </si>
  <si>
    <t>-0.41D-</t>
  </si>
  <si>
    <t>0.22D</t>
  </si>
  <si>
    <t>0.18D+</t>
  </si>
  <si>
    <t>0.17D+</t>
  </si>
  <si>
    <t>0.24D-</t>
  </si>
  <si>
    <t>South Africa</t>
  </si>
  <si>
    <t>0.31D-</t>
  </si>
  <si>
    <t>0.29D-</t>
  </si>
  <si>
    <t>0.38D-</t>
  </si>
  <si>
    <t>0.41D-</t>
  </si>
  <si>
    <t xml:space="preserve">We will assume the 5 socio economic sector spending will increase by 5% every year, Socio Ecnomic Sectors are Health, Housing, Energy and Education. Based on this assumption we will predict the value of Heart next year, In the case of Argentina we have assumed the 5% increase in inflation every year  similarly with Interest Rate. </t>
  </si>
  <si>
    <t>We will assume the 5 socio economic sector spending will increase by 5% every year, Socio Ecnomic Sectors are Health, Housing, Energy and Education. Based on this assumption we will predict the value of Heart next year, In the case of Argentina we have assumed the 5% increase in inflation every year  similarly with Interest Rate. , The Heart Value for 2023 as shown -0.75 because the country witnessed very high inlfation as well as interest rate for which the interest payment to GDP combined crossed 111% of the GDP resulted in negative heart value of -0.75., Due to Very high inflation rate the economic adjusted per capita income has become negative due to which HAV has aslo become negative reflecting on the Heart Score.
The Heart Value for 2023 as shown -0.41 because the country witnessed very high inlfation as well as interest rate for which the interest payment to GDP combined crossed 89% of the GDP resulted in negative heart value of -0.41, Due to Very high inflation rate the economic adjusted per capita income has become negative due to which HAV has aslo become negative reflecting on the Heart Score.</t>
  </si>
  <si>
    <t>Country</t>
  </si>
  <si>
    <t>HEART SCORE</t>
  </si>
  <si>
    <t>Brief Description of HEART Scores</t>
  </si>
  <si>
    <t>RESILIENCE</t>
  </si>
  <si>
    <t>AFFORDABILITY</t>
  </si>
  <si>
    <t>ARGENTINA</t>
  </si>
  <si>
    <t>AUSTRALIA</t>
  </si>
  <si>
    <t>BRAZIL</t>
  </si>
  <si>
    <t>CANADA</t>
  </si>
  <si>
    <t>CHINA</t>
  </si>
  <si>
    <t>FRANCE</t>
  </si>
  <si>
    <t>GERMANY</t>
  </si>
  <si>
    <t>INDIA</t>
  </si>
  <si>
    <t>INDONESIA</t>
  </si>
  <si>
    <t>ITALY</t>
  </si>
  <si>
    <t>JAPAN</t>
  </si>
  <si>
    <t>MEXICO</t>
  </si>
  <si>
    <t>NETHERLAND</t>
  </si>
  <si>
    <t>RUSSIA</t>
  </si>
  <si>
    <t>SAUDI ARABIA</t>
  </si>
  <si>
    <t>SOUTH AFRICA</t>
  </si>
  <si>
    <t>SOUTH KOREA</t>
  </si>
  <si>
    <t>SPAIN</t>
  </si>
  <si>
    <t>SWITZERLAND</t>
  </si>
  <si>
    <t>TURKEY</t>
  </si>
  <si>
    <t>UNITED KINGDOM</t>
  </si>
  <si>
    <t>USA</t>
  </si>
  <si>
    <t>KEY</t>
  </si>
  <si>
    <t>Saudi Arabia</t>
  </si>
  <si>
    <t>South Korea</t>
  </si>
  <si>
    <t>Switzerland</t>
  </si>
  <si>
    <t>United Kingdom</t>
  </si>
  <si>
    <t>HEART SCORE RANKING OF G-20+3 COUNTRIES IN TERMS OF "ECONOMIC RESILIENCE" &amp; "AFFORDABILITY"</t>
  </si>
  <si>
    <t>Country/Year</t>
  </si>
  <si>
    <t>Brief Description of HEART Scores by Mr. Khurshid</t>
  </si>
  <si>
    <t>4th largest per GDP but underperformed against peer China.Very low Affordability and Human development. Must adopt inclussive economy &amp; fix US tarrif threat.</t>
  </si>
  <si>
    <t>Biggest economy per GDP.Facing high debt/GDP and trade defecit challenges. Uncertain and unpredictable trade policies are inflationary and would put pressure on economic growth. Must reach economic normality quickly to fix US and global economy.</t>
  </si>
  <si>
    <t>6th largest per GDP. Facing economic growth and US tarrifs challenges.Political decision leaving EU did not go well economically as it restricted market access.Economic diversification needed.</t>
  </si>
  <si>
    <t>5th largest per GDP. Facing growth,ageing population and US threat challenges.</t>
  </si>
  <si>
    <t>Second biggest per GDP. Well performed than US due to low Debt/GDP and surplus in Trade.</t>
  </si>
  <si>
    <t>Third biggest per GDP. Face challenges on low population &amp; economic growth and US tarrifs threat.</t>
  </si>
  <si>
    <t>17th largest per GDP. Facing several economic challenges including low growth, Affordability and impact of global trade uncertain factors.</t>
  </si>
  <si>
    <t>10th largest per GDP. Facing economic growth and US tarrifs challenges.High debt,rising inflation and low productivity compromised per capita income.Also must fix political uncertainity to focus on economic diversification.</t>
  </si>
  <si>
    <t>16th largest per GDP. Facing several economic challenges including low growth, abnormal high inflation and interest rate,currency fluctuations and affordability pressure. War in Syria,Middle East and Ukraine also impacted economic growth.US tarrifs and global uncertainty compumded economic pressure.</t>
  </si>
  <si>
    <t>15th largest per GDP. Facing several economic challenges the most important one US Trade war started against both Canada and Mexico as North American Economies are very much integrated among member countries. Economy will remain under pressure till US trade war is ended.</t>
  </si>
  <si>
    <t>11th largest per GDP. Facing low economic growth,sanctions,inflation,ageing population,war with Ukkraine,supply chain disruption, US tarrifs and shrinking global market access are biggest challenges. Low oil prices and prolong war with Ukraine would further put pressure on economy and increase social challenges.</t>
  </si>
  <si>
    <t>19th largest per GDP. As per HEART Score, KSA has been ranked as best performing economy among G20 nations. It has also been observed that the country has focused more on social development and health care compared to peer nations. High performing Energy sector has continued augmenting economic growth.</t>
  </si>
  <si>
    <t>13th largest per GDP. Facing low economic growth,ageing population ,US tarrifs and overdependencies of few corporates are biggest challenges. Political turmoil must settle to move on. Should scout normalized relations with North Korea to improve business confidence.</t>
  </si>
  <si>
    <t>12th largest per GDP. Facing low economic growth,high debt,unemployment and US tarrifs are biggest challenges. Political fragmentation must settle to start reforms.</t>
  </si>
  <si>
    <t>8th largest per GDP. Facing economic growth and US tarrifs challenges.High debt &amp; ageing population also factors of concerns.Increase defence spending to 5% to meet NATAO target would compromise social sectors.</t>
  </si>
  <si>
    <t>7th largest per GDP. Facing economic growth and US tarrifs challenges.Political unrest would exacerbate economic situation.</t>
  </si>
  <si>
    <t>9th largest per GDP.Stable economy.Facing trade and tarrifs challenges from USA.</t>
  </si>
  <si>
    <t>14th largest per GDP. Facing several economic challenges including low growth, inflation and affordability pressure. US tarrifs and global uncertainty compumded economic pressure. Despite all, Australia considered to be a country performing good.</t>
  </si>
  <si>
    <t>18th largest per GDP. One of the best performing economies among G20 nations. Also, one of the best in the world on Affordability.</t>
  </si>
  <si>
    <t>20th largest per GDP.As per HEART Score, Switzerland has been ranked as best performing economy among G20 nations in terms of adjusted per capita income. It has also been ranked as the best country for social benefits and performance.</t>
  </si>
  <si>
    <t>Argentina is a member of G-20 and ranks as the 23rd-largest economy in the world, producing $683.53 billion in national output out of the $113.79 trillion global GDP. This means Argentina contributes 0.80% to the world economy a modest share relative to global production.</t>
  </si>
  <si>
    <t>South Africa currently has the largest economy in Africa. The country is a permanent member of G-20 and recently hosted annual G-20 summit in Johannesburg. South Africa is a mid-sized global economy with over $426 billions of GDP nominal representing 0.37% of the global economy also reflecting a relatively small but regionally influential economic presence.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</si>
</sst>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 #,##0_-;\-* #,##0_-;_-* &quot;-&quot;??_-;_-@_-"/>
    <numFmt numFmtId="165" formatCode="_-&quot;£&quot;* #,##0_-;\-&quot;£&quot;* #,##0_-;_-&quot;£&quot;* &quot;-&quot;??_-;_-@_-"/>
    <numFmt numFmtId="166" formatCode="0.000"/>
    <numFmt numFmtId="167" formatCode="_-[$$-409]* #,##0_ ;_-[$$-409]* \-#,##0\ ;_-[$$-409]* &quot;-&quot;??_ ;_-@_ "/>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7"/>
      <name val="Aptos Narrow"/>
      <family val="2"/>
      <scheme val="minor"/>
    </font>
    <font>
      <sz val="36"/>
      <color theme="1"/>
      <name val="Times New Roman"/>
      <family val="1"/>
    </font>
    <font>
      <b/>
      <sz val="36"/>
      <color theme="1"/>
      <name val="Times New Roman"/>
      <family val="1"/>
    </font>
    <font>
      <b/>
      <sz val="28"/>
      <color theme="1"/>
      <name val="Times New Roman"/>
      <family val="1"/>
    </font>
    <font>
      <b/>
      <sz val="28"/>
      <color rgb="FF7030A0"/>
      <name val="Times New Roman"/>
      <family val="1"/>
    </font>
    <font>
      <sz val="28"/>
      <color theme="1"/>
      <name val="Times New Roman"/>
      <family val="1"/>
    </font>
    <font>
      <b/>
      <sz val="36"/>
      <color rgb="FF0070C0"/>
      <name val="Times New Roman"/>
      <family val="1"/>
    </font>
    <font>
      <b/>
      <sz val="36"/>
      <name val="Times New Roman"/>
      <family val="1"/>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6" fillId="0" borderId="0" xfId="0" applyFont="1"/>
    <xf numFmtId="164" fontId="0" fillId="0" borderId="0" xfId="1" applyNumberFormat="1" applyFont="1"/>
    <xf numFmtId="10" fontId="0" fillId="0" borderId="0" xfId="3" applyNumberFormat="1" applyFont="1"/>
    <xf numFmtId="165" fontId="0" fillId="0" borderId="0" xfId="2" applyNumberFormat="1" applyFont="1"/>
    <xf numFmtId="10" fontId="0" fillId="0" borderId="0" xfId="3" quotePrefix="1" applyNumberFormat="1" applyFont="1"/>
    <xf numFmtId="166" fontId="0" fillId="0" borderId="0" xfId="0" applyNumberFormat="1"/>
    <xf numFmtId="166" fontId="0" fillId="0" borderId="0" xfId="0" quotePrefix="1" applyNumberFormat="1"/>
    <xf numFmtId="10" fontId="16" fillId="0" borderId="0" xfId="3" applyNumberFormat="1" applyFont="1"/>
    <xf numFmtId="0" fontId="18" fillId="0" borderId="10" xfId="0" applyFont="1" applyBorder="1"/>
    <xf numFmtId="0" fontId="19" fillId="33" borderId="10" xfId="0" applyFont="1" applyFill="1" applyBorder="1" applyAlignment="1">
      <alignment horizontal="center"/>
    </xf>
    <xf numFmtId="0" fontId="20" fillId="33" borderId="10" xfId="0" applyFont="1" applyFill="1" applyBorder="1" applyAlignment="1">
      <alignment horizontal="center"/>
    </xf>
    <xf numFmtId="0" fontId="19" fillId="0" borderId="0" xfId="0" applyFont="1" applyAlignment="1">
      <alignment horizontal="center"/>
    </xf>
    <xf numFmtId="0" fontId="20" fillId="33" borderId="10" xfId="0" applyFont="1" applyFill="1" applyBorder="1" applyAlignment="1">
      <alignment horizontal="left"/>
    </xf>
    <xf numFmtId="0" fontId="18" fillId="0" borderId="11" xfId="0" applyFont="1" applyBorder="1"/>
    <xf numFmtId="0" fontId="20" fillId="33" borderId="12" xfId="0" applyFont="1" applyFill="1" applyBorder="1" applyAlignment="1">
      <alignment horizontal="left"/>
    </xf>
    <xf numFmtId="0" fontId="21" fillId="33" borderId="10" xfId="0" applyFont="1" applyFill="1" applyBorder="1"/>
    <xf numFmtId="0" fontId="22" fillId="33" borderId="11" xfId="0" applyFont="1" applyFill="1" applyBorder="1"/>
    <xf numFmtId="0" fontId="22" fillId="33" borderId="12" xfId="0" applyFont="1" applyFill="1" applyBorder="1"/>
    <xf numFmtId="0" fontId="22" fillId="33" borderId="10" xfId="0" applyFont="1" applyFill="1" applyBorder="1" applyAlignment="1">
      <alignment horizontal="center"/>
    </xf>
    <xf numFmtId="0" fontId="19" fillId="33" borderId="10" xfId="0" applyFont="1" applyFill="1" applyBorder="1"/>
    <xf numFmtId="0" fontId="20" fillId="33" borderId="10" xfId="0" applyFont="1" applyFill="1" applyBorder="1"/>
    <xf numFmtId="0" fontId="20" fillId="0" borderId="10" xfId="0" applyFont="1" applyBorder="1"/>
    <xf numFmtId="0" fontId="23" fillId="0" borderId="10" xfId="0" applyFont="1" applyBorder="1"/>
    <xf numFmtId="0" fontId="23" fillId="33" borderId="10" xfId="0" applyFont="1" applyFill="1" applyBorder="1"/>
    <xf numFmtId="0" fontId="23" fillId="33" borderId="10" xfId="0" applyFont="1" applyFill="1" applyBorder="1" applyAlignment="1">
      <alignment horizontal="center"/>
    </xf>
    <xf numFmtId="0" fontId="24" fillId="33" borderId="10" xfId="0" applyFont="1" applyFill="1" applyBorder="1" applyAlignment="1">
      <alignment wrapText="1"/>
    </xf>
    <xf numFmtId="0" fontId="0" fillId="0" borderId="10" xfId="0" applyBorder="1"/>
    <xf numFmtId="0" fontId="25" fillId="0" borderId="11" xfId="0" applyFont="1" applyBorder="1" applyAlignment="1">
      <alignment horizontal="center"/>
    </xf>
    <xf numFmtId="2" fontId="0" fillId="0" borderId="0" xfId="0" applyNumberFormat="1"/>
    <xf numFmtId="167" fontId="0" fillId="0" borderId="0" xfId="2" applyNumberFormat="1" applyFont="1"/>
  </cellXfs>
  <cellStyles count="45">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xfId="1" builtinId="3"/>
    <cellStyle name="Currency" xfId="2"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te" xfId="18" builtinId="10" customBuiltin="1"/>
    <cellStyle name="Output" xfId="13" builtinId="21" customBuiltin="1"/>
    <cellStyle name="Percent" xfId="3" builtinId="5"/>
    <cellStyle name="Title" xfId="4" builtinId="15" customBuiltin="1"/>
    <cellStyle name="Total" xfId="20" builtinId="25" customBuiltin="1"/>
    <cellStyle name="Warning Text" xfId="17"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08A7-6D34-4EB9-A58F-7CA879F8AEF0}">
  <dimension ref="A1:AP265"/>
  <sheetViews>
    <sheetView tabSelected="1" zoomScale="116" workbookViewId="0">
      <pane xSplit="1" topLeftCell="B1" activePane="topRight" state="frozen"/>
      <selection pane="topRight" activeCell="A2" sqref="A2"/>
    </sheetView>
  </sheetViews>
  <sheetFormatPr defaultRowHeight="14.6" x14ac:dyDescent="0.4"/>
  <cols>
    <col min="1" max="1" width="20.53515625" bestFit="1" customWidth="1"/>
    <col min="2" max="2" width="14.23046875" bestFit="1" customWidth="1"/>
    <col min="3" max="3" width="23" bestFit="1" customWidth="1"/>
    <col min="4" max="4" width="20.3828125" bestFit="1" customWidth="1"/>
    <col min="5" max="5" width="16.3046875" bestFit="1" customWidth="1"/>
    <col min="6" max="6" width="22.4609375" bestFit="1" customWidth="1"/>
    <col min="7" max="7" width="22" bestFit="1" customWidth="1"/>
    <col min="8" max="8" width="19.3828125" bestFit="1" customWidth="1"/>
    <col min="9" max="9" width="17.3828125" bestFit="1" customWidth="1"/>
    <col min="10" max="10" width="21.69140625" bestFit="1" customWidth="1"/>
    <col min="11" max="11" width="12" bestFit="1" customWidth="1"/>
    <col min="12" max="14" width="20.921875" bestFit="1" customWidth="1"/>
    <col min="15" max="15" width="18.3046875" bestFit="1" customWidth="1"/>
    <col min="16" max="16" width="19.53515625" bestFit="1" customWidth="1"/>
    <col min="17" max="17" width="18.4609375" bestFit="1" customWidth="1"/>
    <col min="18" max="19" width="19.3828125" bestFit="1" customWidth="1"/>
    <col min="20" max="20" width="20.921875" bestFit="1" customWidth="1"/>
    <col min="21" max="21" width="20.69140625" bestFit="1" customWidth="1"/>
    <col min="22" max="22" width="21.23046875" bestFit="1" customWidth="1"/>
    <col min="23" max="23" width="12.15234375" bestFit="1" customWidth="1"/>
    <col min="24" max="24" width="12.4609375" bestFit="1" customWidth="1"/>
    <col min="26" max="26" width="12.4609375" bestFit="1" customWidth="1"/>
    <col min="28" max="28" width="12.4609375" bestFit="1" customWidth="1"/>
    <col min="29" max="30" width="11.84375" bestFit="1" customWidth="1"/>
    <col min="31" max="31" width="20.53515625" bestFit="1" customWidth="1"/>
    <col min="32" max="33" width="11.84375" bestFit="1" customWidth="1"/>
    <col min="34" max="34" width="13.3828125" bestFit="1" customWidth="1"/>
    <col min="35" max="35" width="12.4609375" bestFit="1" customWidth="1"/>
    <col min="36" max="36" width="19.921875" bestFit="1" customWidth="1"/>
    <col min="37" max="37" width="20.921875" bestFit="1" customWidth="1"/>
    <col min="38" max="38" width="17.4609375" bestFit="1" customWidth="1"/>
    <col min="39" max="39" width="10.61328125" bestFit="1" customWidth="1"/>
    <col min="40" max="40" width="52.4609375" bestFit="1" customWidth="1"/>
    <col min="41" max="41" width="130.4609375" bestFit="1" customWidth="1"/>
    <col min="42" max="42" width="255.69140625" bestFit="1" customWidth="1"/>
  </cols>
  <sheetData>
    <row r="1" spans="1:42" s="1" customFormat="1" x14ac:dyDescent="0.4">
      <c r="A1" s="1" t="s">
        <v>299</v>
      </c>
      <c r="B1" s="1" t="s">
        <v>272</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8" t="s">
        <v>28</v>
      </c>
      <c r="AF1" s="1" t="s">
        <v>29</v>
      </c>
      <c r="AG1" s="1" t="s">
        <v>30</v>
      </c>
      <c r="AH1" s="1" t="s">
        <v>31</v>
      </c>
      <c r="AI1" s="1" t="s">
        <v>32</v>
      </c>
      <c r="AJ1" s="1" t="s">
        <v>33</v>
      </c>
      <c r="AK1" s="1" t="s">
        <v>34</v>
      </c>
      <c r="AL1" s="1" t="s">
        <v>35</v>
      </c>
      <c r="AM1" s="1" t="s">
        <v>36</v>
      </c>
      <c r="AN1" s="1" t="s">
        <v>274</v>
      </c>
      <c r="AO1" s="1" t="s">
        <v>306</v>
      </c>
      <c r="AP1" s="1" t="s">
        <v>37</v>
      </c>
    </row>
    <row r="2" spans="1:42" x14ac:dyDescent="0.4">
      <c r="A2" t="str">
        <f>_xlfn.CONCAT(UPPER(B2),"|",C2)</f>
        <v>INDIA|2019</v>
      </c>
      <c r="B2" s="1" t="s">
        <v>41</v>
      </c>
      <c r="C2" s="1">
        <v>2019</v>
      </c>
      <c r="D2" s="4">
        <v>87700000000000</v>
      </c>
      <c r="E2" s="3"/>
      <c r="F2" s="2">
        <v>7810000000</v>
      </c>
      <c r="G2" s="3"/>
      <c r="H2" s="4">
        <v>2840000000000</v>
      </c>
      <c r="I2" s="3"/>
      <c r="J2" s="2">
        <v>1390000000</v>
      </c>
      <c r="K2" s="3"/>
      <c r="L2" s="3">
        <v>3.2383124290000002E-2</v>
      </c>
      <c r="M2" s="4">
        <v>632000000000</v>
      </c>
      <c r="N2" s="4">
        <v>538000000000</v>
      </c>
      <c r="O2" s="4">
        <v>-94000000000</v>
      </c>
      <c r="P2" s="3">
        <v>-3.3098591550000001E-2</v>
      </c>
      <c r="Q2" s="3">
        <v>0.75</v>
      </c>
      <c r="R2" s="3"/>
      <c r="S2" s="4">
        <v>2130000000000</v>
      </c>
      <c r="T2" s="3">
        <v>6.25E-2</v>
      </c>
      <c r="U2" s="4">
        <v>133125000000</v>
      </c>
      <c r="V2" s="3">
        <v>4.6875E-2</v>
      </c>
      <c r="W2" s="3">
        <v>3.73E-2</v>
      </c>
      <c r="X2" s="4">
        <v>2043.1654679999999</v>
      </c>
      <c r="Y2" s="4">
        <v>1966.9553960000001</v>
      </c>
      <c r="Z2" s="6">
        <v>0.65100000000000002</v>
      </c>
      <c r="AA2" s="3"/>
      <c r="AB2" s="6">
        <v>0.33800000000000002</v>
      </c>
      <c r="AC2" s="3"/>
      <c r="AD2" s="6">
        <v>0.313</v>
      </c>
      <c r="AE2" s="3">
        <v>6.6688319750000002E-2</v>
      </c>
      <c r="AF2" s="3">
        <v>1.168830423E-2</v>
      </c>
      <c r="AG2" s="3">
        <v>3.6688202730000001E-2</v>
      </c>
      <c r="AH2" s="3">
        <v>3.2688218970000002E-2</v>
      </c>
      <c r="AI2" s="3">
        <v>0.1477530457</v>
      </c>
      <c r="AJ2" s="6">
        <v>0.10016257839999999</v>
      </c>
      <c r="AK2" s="4">
        <v>615.65703880000001</v>
      </c>
      <c r="AL2" t="s">
        <v>38</v>
      </c>
      <c r="AM2" t="s">
        <v>39</v>
      </c>
      <c r="AN2" t="str">
        <f>_xlfn.CONCAT(_xlfn.IFS(
AJ2&gt;=0.7,"Superb",
AJ2&gt;=0.51,"Excellent",
AJ2&gt;=0.41,"Good",
AJ2&gt;=0.31,"Satisfactory",
AJ2&gt;=0.26,"Moderate",
AJ2&gt;=0.1,"Weak",
AJ2&lt;0.1,"Very Weak"
), " Economic Resilience with ",_xlfn.IFS(
AK2&lt;=2500,"Very Weak",
AK2&lt;=5000,"Poor",
AK2&lt;=10000,"Challenging",
AK2&lt;=12500,"Border Line",
AK2&lt;=15000,"Improved",
AK2&lt;=20000,"Moderate",
AK2&lt;=25000,"Satisfactory",
AK2&lt;=30000,"Good",
AK2&lt;=35000,"Very Good",
AK2&lt;=40000,"High",
AK2&lt;=50000,"Excellent",
AK2&lt;=100000,"Superb",
AK2&gt;100000,"Superb"
), " Affordability.")</f>
        <v>Weak Economic Resilience with Very Weak Affordability.</v>
      </c>
      <c r="AP2" t="s">
        <v>40</v>
      </c>
    </row>
    <row r="3" spans="1:42" x14ac:dyDescent="0.4">
      <c r="A3" t="str">
        <f t="shared" ref="A3:A66" si="0">_xlfn.CONCAT(UPPER(B3),"|",C3)</f>
        <v>INDIA|2020</v>
      </c>
      <c r="B3" s="1" t="s">
        <v>41</v>
      </c>
      <c r="C3" s="1">
        <v>2020</v>
      </c>
      <c r="D3" s="4">
        <v>84750000000000</v>
      </c>
      <c r="E3" s="3">
        <v>-3.3637400230000003E-2</v>
      </c>
      <c r="F3" s="2">
        <v>7890000000</v>
      </c>
      <c r="G3" s="3">
        <v>1.0243277849999999E-2</v>
      </c>
      <c r="H3" s="4">
        <v>2670000000000</v>
      </c>
      <c r="I3" s="3">
        <v>-5.9859154929999998E-2</v>
      </c>
      <c r="J3" s="2">
        <v>1400000000</v>
      </c>
      <c r="K3" s="3">
        <v>7.194244604E-3</v>
      </c>
      <c r="L3" s="3">
        <v>3.1504424779999998E-2</v>
      </c>
      <c r="M3" s="4">
        <v>546000000000</v>
      </c>
      <c r="N3" s="4">
        <v>497000000000</v>
      </c>
      <c r="O3" s="4">
        <v>-49000000000</v>
      </c>
      <c r="P3" s="3">
        <v>-1.8352059930000001E-2</v>
      </c>
      <c r="Q3" s="3">
        <v>0.88400000000000001</v>
      </c>
      <c r="R3" s="3">
        <v>0.1786666667</v>
      </c>
      <c r="S3" s="4">
        <v>2360280000000</v>
      </c>
      <c r="T3" s="5">
        <v>4.3999999999999997E-2</v>
      </c>
      <c r="U3" s="4">
        <v>103852320000</v>
      </c>
      <c r="V3" s="3">
        <v>3.8896E-2</v>
      </c>
      <c r="W3" s="3">
        <v>6.6199999999999995E-2</v>
      </c>
      <c r="X3" s="4">
        <v>1907.142857</v>
      </c>
      <c r="Y3" s="4">
        <v>1780.89</v>
      </c>
      <c r="Z3" s="6">
        <v>0.65200000000000002</v>
      </c>
      <c r="AA3" s="3">
        <v>1.5360983099999999E-3</v>
      </c>
      <c r="AB3" s="6">
        <v>0.33800000000000002</v>
      </c>
      <c r="AC3" s="3">
        <v>0</v>
      </c>
      <c r="AD3" s="6">
        <v>0.314</v>
      </c>
      <c r="AE3" s="3">
        <v>6.8632438779999999E-2</v>
      </c>
      <c r="AF3" s="3">
        <v>1.3632423249999999E-2</v>
      </c>
      <c r="AG3" s="3">
        <v>3.8632321749999997E-2</v>
      </c>
      <c r="AH3" s="3">
        <v>3.4632337989999998E-2</v>
      </c>
      <c r="AI3" s="3">
        <v>0.15552952179999999</v>
      </c>
      <c r="AJ3" s="6">
        <v>0.12978588660000001</v>
      </c>
      <c r="AK3" s="4">
        <v>559.19946000000004</v>
      </c>
      <c r="AL3" t="s">
        <v>38</v>
      </c>
      <c r="AM3" t="s">
        <v>42</v>
      </c>
      <c r="AN3" t="str">
        <f t="shared" ref="AN3:AN66" si="1">_xlfn.CONCAT(_xlfn.IFS(
AJ3&gt;=0.7,"Superb",
AJ3&gt;=0.51,"Excellent",
AJ3&gt;=0.41,"Good",
AJ3&gt;=0.31,"Satisfactory",
AJ3&gt;=0.26,"Moderate",
AJ3&gt;=0.1,"Weak",
AJ3&lt;0.1,"Very Weak"
), " Economic Resilience with ",_xlfn.IFS(
AK3&lt;=2500,"Very Weak",
AK3&lt;=5000,"Poor",
AK3&lt;=10000,"Challenging",
AK3&lt;=12500,"Border Line",
AK3&lt;=15000,"Improved",
AK3&lt;=20000,"Moderate",
AK3&lt;=25000,"Satisfactory",
AK3&lt;=30000,"Good",
AK3&lt;=35000,"Very Good",
AK3&lt;=40000,"High",
AK3&lt;=50000,"Excellent",
AK3&lt;=100000,"Superb",
AK3&gt;100000,"Superb"
), " Affordability.")</f>
        <v>Weak Economic Resilience with Very Weak Affordability.</v>
      </c>
      <c r="AP3" t="s">
        <v>40</v>
      </c>
    </row>
    <row r="4" spans="1:42" x14ac:dyDescent="0.4">
      <c r="A4" t="str">
        <f t="shared" si="0"/>
        <v>INDIA|2021</v>
      </c>
      <c r="B4" s="1" t="s">
        <v>41</v>
      </c>
      <c r="C4" s="1">
        <v>2021</v>
      </c>
      <c r="D4" s="4">
        <v>96140000000000</v>
      </c>
      <c r="E4" s="3">
        <v>0.13439528019999999</v>
      </c>
      <c r="F4" s="2">
        <v>7950000000</v>
      </c>
      <c r="G4" s="3">
        <v>7.6045627380000001E-3</v>
      </c>
      <c r="H4" s="4">
        <v>3170000000000</v>
      </c>
      <c r="I4" s="3">
        <v>0.1872659176</v>
      </c>
      <c r="J4" s="2">
        <v>1410000000</v>
      </c>
      <c r="K4" s="3">
        <v>7.1428571429999997E-3</v>
      </c>
      <c r="L4" s="3">
        <v>3.2972748080000003E-2</v>
      </c>
      <c r="M4" s="4">
        <v>670000000000</v>
      </c>
      <c r="N4" s="4">
        <v>612000000000</v>
      </c>
      <c r="O4" s="4">
        <v>-58000000000</v>
      </c>
      <c r="P4" s="3">
        <v>-1.8296529969999999E-2</v>
      </c>
      <c r="Q4" s="3">
        <v>0.83499999999999996</v>
      </c>
      <c r="R4" s="3">
        <v>-5.5429864250000002E-2</v>
      </c>
      <c r="S4" s="4">
        <v>2646950000000</v>
      </c>
      <c r="T4" s="3">
        <v>0.04</v>
      </c>
      <c r="U4" s="4">
        <v>105878000000</v>
      </c>
      <c r="V4" s="3">
        <v>3.3399999999999999E-2</v>
      </c>
      <c r="W4" s="3">
        <v>5.1299999999999998E-2</v>
      </c>
      <c r="X4" s="4">
        <v>2248.2269500000002</v>
      </c>
      <c r="Y4" s="4">
        <v>2132.8929079999998</v>
      </c>
      <c r="Z4" s="6">
        <v>0.64700000000000002</v>
      </c>
      <c r="AA4" s="3">
        <v>-7.6687116559999999E-3</v>
      </c>
      <c r="AB4" s="6">
        <v>0.32800000000000001</v>
      </c>
      <c r="AC4" s="3">
        <v>-3.048780488E-2</v>
      </c>
      <c r="AD4" s="6">
        <v>0.31900000000000001</v>
      </c>
      <c r="AE4" s="3">
        <v>7.0678879850000001E-2</v>
      </c>
      <c r="AF4" s="3">
        <v>1.567886433E-2</v>
      </c>
      <c r="AG4" s="3">
        <v>4.0678762819999999E-2</v>
      </c>
      <c r="AH4" s="3">
        <v>3.667877906E-2</v>
      </c>
      <c r="AI4" s="3">
        <v>0.1637152861</v>
      </c>
      <c r="AJ4" s="6">
        <v>0.14499150420000001</v>
      </c>
      <c r="AK4" s="4">
        <v>680.39283760000001</v>
      </c>
      <c r="AL4" t="s">
        <v>38</v>
      </c>
      <c r="AM4" t="s">
        <v>43</v>
      </c>
      <c r="AN4" t="str">
        <f t="shared" si="1"/>
        <v>Weak Economic Resilience with Very Weak Affordability.</v>
      </c>
      <c r="AP4" t="s">
        <v>40</v>
      </c>
    </row>
    <row r="5" spans="1:42" x14ac:dyDescent="0.4">
      <c r="A5" t="str">
        <f t="shared" si="0"/>
        <v>INDIA|2022</v>
      </c>
      <c r="B5" s="1" t="s">
        <v>41</v>
      </c>
      <c r="C5" s="1">
        <v>2022</v>
      </c>
      <c r="D5" s="4">
        <v>101560000000000</v>
      </c>
      <c r="E5" s="3">
        <v>5.6376118160000002E-2</v>
      </c>
      <c r="F5" s="2">
        <v>8020000000</v>
      </c>
      <c r="G5" s="3">
        <v>8.8050314469999991E-3</v>
      </c>
      <c r="H5" s="4">
        <v>3350000000000</v>
      </c>
      <c r="I5" s="3">
        <v>5.678233438E-2</v>
      </c>
      <c r="J5" s="2">
        <v>1430000000</v>
      </c>
      <c r="K5" s="3">
        <v>1.4184397160000001E-2</v>
      </c>
      <c r="L5" s="3">
        <v>3.2985427329999997E-2</v>
      </c>
      <c r="M5" s="4">
        <v>788000000000</v>
      </c>
      <c r="N5" s="4">
        <v>743000000000</v>
      </c>
      <c r="O5" s="4">
        <v>-45000000000</v>
      </c>
      <c r="P5" s="3">
        <v>-1.3432835820000001E-2</v>
      </c>
      <c r="Q5" s="5">
        <v>0.82199999999999995</v>
      </c>
      <c r="R5" s="3">
        <v>-1.556886228E-2</v>
      </c>
      <c r="S5" s="4">
        <v>2753700000000</v>
      </c>
      <c r="T5" s="3">
        <v>0.04</v>
      </c>
      <c r="U5" s="4">
        <v>110148000000</v>
      </c>
      <c r="V5" s="3">
        <v>3.288E-2</v>
      </c>
      <c r="W5" s="3">
        <v>6.7000000000000004E-2</v>
      </c>
      <c r="X5" s="4">
        <v>2342.6573429999999</v>
      </c>
      <c r="Y5" s="4">
        <v>2185.6993010000001</v>
      </c>
      <c r="Z5" s="6">
        <v>0.67600000000000005</v>
      </c>
      <c r="AA5" s="3">
        <v>4.4822256570000003E-2</v>
      </c>
      <c r="AB5" s="6">
        <v>0.32800000000000001</v>
      </c>
      <c r="AC5" s="3">
        <v>0</v>
      </c>
      <c r="AD5" s="6">
        <v>0.34799999999999998</v>
      </c>
      <c r="AE5" s="3">
        <v>7.2833028349999995E-2</v>
      </c>
      <c r="AF5" s="3">
        <v>1.7833012830000002E-2</v>
      </c>
      <c r="AG5" s="3">
        <v>4.283291132E-2</v>
      </c>
      <c r="AH5" s="3">
        <v>3.8832927570000002E-2</v>
      </c>
      <c r="AI5" s="3">
        <v>0.1723318801</v>
      </c>
      <c r="AJ5" s="6">
        <v>0.1590044716</v>
      </c>
      <c r="AK5" s="4">
        <v>760.62335659999997</v>
      </c>
      <c r="AL5" t="s">
        <v>38</v>
      </c>
      <c r="AM5" t="s">
        <v>44</v>
      </c>
      <c r="AN5" t="str">
        <f t="shared" si="1"/>
        <v>Weak Economic Resilience with Very Weak Affordability.</v>
      </c>
      <c r="AP5" t="s">
        <v>40</v>
      </c>
    </row>
    <row r="6" spans="1:42" x14ac:dyDescent="0.4">
      <c r="A6" t="str">
        <f t="shared" si="0"/>
        <v>INDIA|2023</v>
      </c>
      <c r="B6" s="1" t="s">
        <v>41</v>
      </c>
      <c r="C6" s="1">
        <v>2023</v>
      </c>
      <c r="D6" s="4">
        <v>106800000000000</v>
      </c>
      <c r="E6" s="3">
        <v>5.1595116189999998E-2</v>
      </c>
      <c r="F6" s="2">
        <v>8090000000</v>
      </c>
      <c r="G6" s="3">
        <v>8.7281795509999999E-3</v>
      </c>
      <c r="H6" s="4">
        <v>3640000000000</v>
      </c>
      <c r="I6" s="3">
        <v>8.6567164180000003E-2</v>
      </c>
      <c r="J6" s="2">
        <v>1440000000</v>
      </c>
      <c r="K6" s="3">
        <v>6.9930069930000003E-3</v>
      </c>
      <c r="L6" s="3">
        <v>3.4082397E-2</v>
      </c>
      <c r="M6" s="4">
        <v>856650000000</v>
      </c>
      <c r="N6" s="4">
        <v>774000000000</v>
      </c>
      <c r="O6" s="4">
        <v>-82650000000</v>
      </c>
      <c r="P6" s="3">
        <v>-2.2706043959999998E-2</v>
      </c>
      <c r="Q6" s="3">
        <v>0.81200000000000006</v>
      </c>
      <c r="R6" s="3">
        <v>-1.2165450120000001E-2</v>
      </c>
      <c r="S6" s="4">
        <v>2955680000000</v>
      </c>
      <c r="T6" s="3">
        <v>6.5000000000000002E-2</v>
      </c>
      <c r="U6" s="4">
        <v>192119200000</v>
      </c>
      <c r="V6" s="3">
        <v>5.2780000000000001E-2</v>
      </c>
      <c r="W6" s="3">
        <v>5.6500000000000002E-2</v>
      </c>
      <c r="X6" s="4">
        <v>2527.7777780000001</v>
      </c>
      <c r="Y6" s="4">
        <v>2384.958333</v>
      </c>
      <c r="Z6" s="6">
        <v>0.68500000000000005</v>
      </c>
      <c r="AA6" s="3">
        <v>1.331360947E-2</v>
      </c>
      <c r="AB6" s="6">
        <v>0.32800000000000001</v>
      </c>
      <c r="AC6" s="3">
        <v>0</v>
      </c>
      <c r="AD6" s="6">
        <v>0.35699999999999998</v>
      </c>
      <c r="AE6" s="3">
        <v>7.5100553089999994E-2</v>
      </c>
      <c r="AF6" s="3">
        <v>2.010053757E-2</v>
      </c>
      <c r="AG6" s="3">
        <v>4.5100436059999999E-2</v>
      </c>
      <c r="AH6" s="3">
        <v>4.11004523E-2</v>
      </c>
      <c r="AI6" s="3">
        <v>0.18140197899999999</v>
      </c>
      <c r="AJ6" s="6">
        <v>0.13999833210000001</v>
      </c>
      <c r="AK6" s="4">
        <v>851.43012499999998</v>
      </c>
      <c r="AL6" t="s">
        <v>38</v>
      </c>
      <c r="AM6" t="s">
        <v>43</v>
      </c>
      <c r="AN6" t="str">
        <f t="shared" si="1"/>
        <v>Weak Economic Resilience with Very Weak Affordability.</v>
      </c>
      <c r="AP6" t="s">
        <v>40</v>
      </c>
    </row>
    <row r="7" spans="1:42" x14ac:dyDescent="0.4">
      <c r="A7" t="str">
        <f t="shared" si="0"/>
        <v>INDIA|2024</v>
      </c>
      <c r="B7" s="1" t="s">
        <v>41</v>
      </c>
      <c r="C7" s="1">
        <v>2024</v>
      </c>
      <c r="D7" s="4">
        <v>112600000000000</v>
      </c>
      <c r="E7" s="3">
        <v>5.4307116099999997E-2</v>
      </c>
      <c r="F7" s="2">
        <v>8161972572</v>
      </c>
      <c r="G7" s="3">
        <v>8.8964860320000002E-3</v>
      </c>
      <c r="H7" s="4">
        <v>3910000000000</v>
      </c>
      <c r="I7" s="3">
        <v>7.4175824180000002E-2</v>
      </c>
      <c r="J7" s="2">
        <v>1450000000</v>
      </c>
      <c r="K7" s="3">
        <v>6.9444444440000001E-3</v>
      </c>
      <c r="L7" s="3">
        <v>3.4724689170000003E-2</v>
      </c>
      <c r="M7" s="4">
        <v>919210000000</v>
      </c>
      <c r="N7" s="4">
        <v>828630000000</v>
      </c>
      <c r="O7" s="4">
        <v>-90580000000</v>
      </c>
      <c r="P7" s="3">
        <v>-2.316624041E-2</v>
      </c>
      <c r="Q7" s="3">
        <v>0.81299999999999994</v>
      </c>
      <c r="R7" s="3">
        <v>1.2315270939999999E-3</v>
      </c>
      <c r="S7" s="4">
        <v>3178830000000</v>
      </c>
      <c r="T7" s="3">
        <v>6.5000000000000002E-2</v>
      </c>
      <c r="U7" s="4">
        <v>206623950000</v>
      </c>
      <c r="V7" s="3">
        <v>5.2845000000000003E-2</v>
      </c>
      <c r="W7" s="3">
        <v>4.9500000000000002E-2</v>
      </c>
      <c r="X7" s="4">
        <v>2696.5517239999999</v>
      </c>
      <c r="Y7" s="4">
        <v>2563.0724140000002</v>
      </c>
      <c r="Z7" s="6">
        <v>0.68500000000000005</v>
      </c>
      <c r="AA7" s="3">
        <v>0</v>
      </c>
      <c r="AB7" s="6">
        <v>0.32800000000000001</v>
      </c>
      <c r="AC7" s="3">
        <v>0</v>
      </c>
      <c r="AD7" s="6">
        <v>0.35699999999999998</v>
      </c>
      <c r="AE7" s="3">
        <v>7.7487421240000007E-2</v>
      </c>
      <c r="AF7" s="3">
        <v>2.2487405709999998E-2</v>
      </c>
      <c r="AG7" s="3">
        <v>4.7487304209999998E-2</v>
      </c>
      <c r="AH7" s="3">
        <v>4.3487320449999999E-2</v>
      </c>
      <c r="AI7" s="3">
        <v>0.19094945159999999</v>
      </c>
      <c r="AJ7" s="6">
        <v>0.14966290039999999</v>
      </c>
      <c r="AK7" s="4">
        <v>915.01685169999996</v>
      </c>
      <c r="AL7" t="s">
        <v>38</v>
      </c>
      <c r="AM7" t="s">
        <v>45</v>
      </c>
      <c r="AN7" t="str">
        <f t="shared" si="1"/>
        <v>Weak Economic Resilience with Very Weak Affordability.</v>
      </c>
      <c r="AP7" t="s">
        <v>40</v>
      </c>
    </row>
    <row r="8" spans="1:42" x14ac:dyDescent="0.4">
      <c r="A8" t="str">
        <f t="shared" si="0"/>
        <v>INDIA|2025</v>
      </c>
      <c r="B8" s="1" t="s">
        <v>41</v>
      </c>
      <c r="C8" s="1">
        <v>2025</v>
      </c>
      <c r="D8" s="4">
        <v>113795678000000</v>
      </c>
      <c r="E8" s="3">
        <v>1.061880995E-2</v>
      </c>
      <c r="F8" s="2">
        <v>8231613070</v>
      </c>
      <c r="G8" s="3">
        <v>8.5323121809999999E-3</v>
      </c>
      <c r="H8" s="4">
        <v>4187017000000</v>
      </c>
      <c r="I8" s="3">
        <v>7.0848337600000005E-2</v>
      </c>
      <c r="J8" s="2">
        <v>1425000000</v>
      </c>
      <c r="K8" s="3">
        <v>-1.7241379309999999E-2</v>
      </c>
      <c r="L8" s="3">
        <v>3.6794165419999997E-2</v>
      </c>
      <c r="M8" s="4">
        <v>918920000000</v>
      </c>
      <c r="N8" s="4">
        <v>828920000000</v>
      </c>
      <c r="O8" s="4">
        <v>-90000000000</v>
      </c>
      <c r="P8" s="3">
        <v>-2.1495016620000001E-2</v>
      </c>
      <c r="Q8" s="3">
        <v>0.82999997372831302</v>
      </c>
      <c r="R8" s="3">
        <v>2.0910176789999999E-2</v>
      </c>
      <c r="S8" s="4">
        <v>3475224000000</v>
      </c>
      <c r="T8" s="3">
        <v>5.5E-2</v>
      </c>
      <c r="U8" s="4">
        <v>191137320000</v>
      </c>
      <c r="V8" s="3">
        <v>4.5649998560000002E-2</v>
      </c>
      <c r="W8" s="3">
        <v>2.8199999999999999E-2</v>
      </c>
      <c r="X8" s="4">
        <v>2938.2575440000001</v>
      </c>
      <c r="Y8" s="4">
        <v>2855.3986810000001</v>
      </c>
      <c r="Z8" s="6">
        <v>0.68500000000000005</v>
      </c>
      <c r="AA8" s="3">
        <v>0</v>
      </c>
      <c r="AB8" s="6">
        <v>0.32800000000000001</v>
      </c>
      <c r="AC8" s="3">
        <v>0</v>
      </c>
      <c r="AD8" s="6">
        <v>0.35699999999999998</v>
      </c>
      <c r="AE8" s="3">
        <v>7.9999914019933505E-2</v>
      </c>
      <c r="AF8" s="5">
        <v>2.4999898495754899E-2</v>
      </c>
      <c r="AG8" s="3">
        <v>4.99997969915097E-2</v>
      </c>
      <c r="AH8" s="3">
        <v>4.5999813232188901E-2</v>
      </c>
      <c r="AI8" s="3">
        <v>0.20099942270000001</v>
      </c>
      <c r="AJ8" s="6">
        <v>0.170648573</v>
      </c>
      <c r="AK8" s="4">
        <v>1019.377329</v>
      </c>
      <c r="AL8" t="s">
        <v>38</v>
      </c>
      <c r="AM8" t="s">
        <v>46</v>
      </c>
      <c r="AN8" t="str">
        <f t="shared" si="1"/>
        <v>Weak Economic Resilience with Very Weak Affordability.</v>
      </c>
      <c r="AO8" t="s">
        <v>307</v>
      </c>
      <c r="AP8" t="s">
        <v>40</v>
      </c>
    </row>
    <row r="9" spans="1:42" x14ac:dyDescent="0.4">
      <c r="A9" t="str">
        <f t="shared" si="0"/>
        <v>INDIA|2026</v>
      </c>
      <c r="B9" s="1" t="s">
        <v>41</v>
      </c>
      <c r="C9" s="1">
        <v>2026</v>
      </c>
      <c r="D9" s="4">
        <v>120063810405112</v>
      </c>
      <c r="E9" s="3">
        <v>5.5082341569999999E-2</v>
      </c>
      <c r="F9" s="2">
        <v>8302201675</v>
      </c>
      <c r="G9" s="3">
        <v>8.575306441E-3</v>
      </c>
      <c r="H9" s="4">
        <v>4435586665427</v>
      </c>
      <c r="I9" s="3">
        <v>5.936676766E-2</v>
      </c>
      <c r="J9" s="2">
        <v>1442637444</v>
      </c>
      <c r="K9" s="3">
        <v>1.237715348E-2</v>
      </c>
      <c r="L9" s="3">
        <v>3.6943577339999999E-2</v>
      </c>
      <c r="M9" s="4">
        <v>1017801428571</v>
      </c>
      <c r="N9" s="4">
        <v>931367142857</v>
      </c>
      <c r="O9" s="4">
        <v>-86434285714</v>
      </c>
      <c r="P9" s="3">
        <v>-1.948655099E-2</v>
      </c>
      <c r="Q9" s="3">
        <v>0.83892275009999995</v>
      </c>
      <c r="R9" s="3">
        <v>1.0750333359999999E-2</v>
      </c>
      <c r="S9" s="4">
        <v>3721114563803</v>
      </c>
      <c r="T9" s="3">
        <v>5.942857143E-2</v>
      </c>
      <c r="U9" s="4">
        <v>221140522649</v>
      </c>
      <c r="V9" s="3">
        <v>4.9855980580000001E-2</v>
      </c>
      <c r="W9" s="3">
        <v>4.292857143E-2</v>
      </c>
      <c r="X9" s="4">
        <v>3074.6371410000002</v>
      </c>
      <c r="Y9" s="4">
        <v>2942.6473609999998</v>
      </c>
      <c r="Z9" s="6">
        <v>0.69453994760000004</v>
      </c>
      <c r="AA9" s="3">
        <v>1.392693077E-2</v>
      </c>
      <c r="AB9" s="6">
        <v>0.32502380949999998</v>
      </c>
      <c r="AC9" s="3">
        <v>-9.1568383270000005E-3</v>
      </c>
      <c r="AD9" s="6">
        <v>0.3695161381</v>
      </c>
      <c r="AE9" s="3">
        <v>8.2512406799999993E-2</v>
      </c>
      <c r="AF9" s="3">
        <v>2.751239128E-2</v>
      </c>
      <c r="AG9" s="3">
        <v>5.2512289779999999E-2</v>
      </c>
      <c r="AH9" s="3">
        <v>4.851230602E-2</v>
      </c>
      <c r="AI9" s="3">
        <v>0.21104939389999999</v>
      </c>
      <c r="AJ9" s="6">
        <v>0.17865043959999999</v>
      </c>
      <c r="AK9" s="4">
        <v>1087.3556880000001</v>
      </c>
      <c r="AL9" t="s">
        <v>38</v>
      </c>
      <c r="AM9" t="s">
        <v>47</v>
      </c>
      <c r="AN9" t="str">
        <f t="shared" si="1"/>
        <v>Weak Economic Resilience with Very Weak Affordability.</v>
      </c>
      <c r="AP9" t="s">
        <v>40</v>
      </c>
    </row>
    <row r="10" spans="1:42" x14ac:dyDescent="0.4">
      <c r="A10" t="str">
        <f t="shared" si="0"/>
        <v>INDIA|2027</v>
      </c>
      <c r="B10" s="1" t="s">
        <v>41</v>
      </c>
      <c r="C10" s="1">
        <v>2027</v>
      </c>
      <c r="D10" s="4">
        <v>125735541889780</v>
      </c>
      <c r="E10" s="3">
        <v>4.7239309379999997E-2</v>
      </c>
      <c r="F10" s="2">
        <v>8372937901</v>
      </c>
      <c r="G10" s="3">
        <v>8.5201768609999996E-3</v>
      </c>
      <c r="H10" s="4">
        <v>4700572377145</v>
      </c>
      <c r="I10" s="3">
        <v>5.9740848659999998E-2</v>
      </c>
      <c r="J10" s="2">
        <v>1453619908</v>
      </c>
      <c r="K10" s="3">
        <v>7.6127682960000003E-3</v>
      </c>
      <c r="L10" s="3">
        <v>3.7384595530000002E-2</v>
      </c>
      <c r="M10" s="4">
        <v>1081866785714</v>
      </c>
      <c r="N10" s="4">
        <v>992010714286</v>
      </c>
      <c r="O10" s="4">
        <v>-89856071429</v>
      </c>
      <c r="P10" s="3">
        <v>-1.9115985080000002E-2</v>
      </c>
      <c r="Q10" s="3">
        <v>0.84611799239999996</v>
      </c>
      <c r="R10" s="3">
        <v>8.5767638310000009E-3</v>
      </c>
      <c r="S10" s="4">
        <v>3977238863025</v>
      </c>
      <c r="T10" s="3">
        <v>6.1017857139999999E-2</v>
      </c>
      <c r="U10" s="4">
        <v>242682592767</v>
      </c>
      <c r="V10" s="3">
        <v>5.1628306790000002E-2</v>
      </c>
      <c r="W10" s="3">
        <v>4.0946428569999999E-2</v>
      </c>
      <c r="X10" s="4">
        <v>3233.7011560000001</v>
      </c>
      <c r="Y10" s="4">
        <v>3101.2926419999999</v>
      </c>
      <c r="Z10" s="6">
        <v>0.70239004260000004</v>
      </c>
      <c r="AA10" s="3">
        <v>1.130258238E-2</v>
      </c>
      <c r="AB10" s="6">
        <v>0.32288318189999998</v>
      </c>
      <c r="AC10" s="3">
        <v>-6.6297277539999998E-3</v>
      </c>
      <c r="AD10" s="6">
        <v>0.3795068606</v>
      </c>
      <c r="AE10" s="3">
        <v>8.5150524229999996E-2</v>
      </c>
      <c r="AF10" s="3">
        <v>3.0150508699999998E-2</v>
      </c>
      <c r="AG10" s="3">
        <v>5.5150407200000001E-2</v>
      </c>
      <c r="AH10" s="3">
        <v>5.1150423440000002E-2</v>
      </c>
      <c r="AI10" s="3">
        <v>0.2216018636</v>
      </c>
      <c r="AJ10" s="6">
        <v>0.1882421672</v>
      </c>
      <c r="AK10" s="4">
        <v>1176.961834</v>
      </c>
      <c r="AL10" t="s">
        <v>38</v>
      </c>
      <c r="AM10" t="s">
        <v>48</v>
      </c>
      <c r="AN10" t="str">
        <f t="shared" si="1"/>
        <v>Weak Economic Resilience with Very Weak Affordability.</v>
      </c>
      <c r="AP10" t="s">
        <v>40</v>
      </c>
    </row>
    <row r="11" spans="1:42" x14ac:dyDescent="0.4">
      <c r="A11" t="str">
        <f t="shared" si="0"/>
        <v>INDIA|2028</v>
      </c>
      <c r="B11" s="1" t="s">
        <v>41</v>
      </c>
      <c r="C11" s="1">
        <v>2028</v>
      </c>
      <c r="D11" s="4">
        <v>131237442252096</v>
      </c>
      <c r="E11" s="3">
        <v>4.375771782E-2</v>
      </c>
      <c r="F11" s="2">
        <v>8443822776</v>
      </c>
      <c r="G11" s="3">
        <v>8.465950178E-3</v>
      </c>
      <c r="H11" s="4">
        <v>4974261388939</v>
      </c>
      <c r="I11" s="3">
        <v>5.822461391E-2</v>
      </c>
      <c r="J11" s="2">
        <v>1462336629</v>
      </c>
      <c r="K11" s="3">
        <v>5.9965613030000002E-3</v>
      </c>
      <c r="L11" s="3">
        <v>3.7902760860000002E-2</v>
      </c>
      <c r="M11" s="4">
        <v>1145932142857</v>
      </c>
      <c r="N11" s="4">
        <v>1052654285714</v>
      </c>
      <c r="O11" s="4">
        <v>-93277857143</v>
      </c>
      <c r="P11" s="3">
        <v>-1.8752102039999999E-2</v>
      </c>
      <c r="Q11" s="3">
        <v>0.852731299</v>
      </c>
      <c r="R11" s="3">
        <v>7.8160571259999999E-3</v>
      </c>
      <c r="S11" s="4">
        <v>4241708375729</v>
      </c>
      <c r="T11" s="3">
        <v>6.2607142860000006E-2</v>
      </c>
      <c r="U11" s="4">
        <v>265561242238</v>
      </c>
      <c r="V11" s="3">
        <v>5.3387070250000002E-2</v>
      </c>
      <c r="W11" s="3">
        <v>3.8964285709999998E-2</v>
      </c>
      <c r="X11" s="4">
        <v>3401.5843479999999</v>
      </c>
      <c r="Y11" s="4">
        <v>3269.0440429999999</v>
      </c>
      <c r="Z11" s="6">
        <v>0.70967243609999997</v>
      </c>
      <c r="AA11" s="3">
        <v>1.03680193E-2</v>
      </c>
      <c r="AB11" s="6">
        <v>0.32102777100000002</v>
      </c>
      <c r="AC11" s="3">
        <v>-5.77959636E-3</v>
      </c>
      <c r="AD11" s="6">
        <v>0.38864466510000001</v>
      </c>
      <c r="AE11" s="3">
        <v>8.7920547520000003E-2</v>
      </c>
      <c r="AF11" s="3">
        <v>3.2920532000000002E-2</v>
      </c>
      <c r="AG11" s="3">
        <v>5.7920430490000001E-2</v>
      </c>
      <c r="AH11" s="3">
        <v>5.3920446730000002E-2</v>
      </c>
      <c r="AI11" s="3">
        <v>0.2326819567</v>
      </c>
      <c r="AJ11" s="6">
        <v>0.1984455453</v>
      </c>
      <c r="AK11" s="4">
        <v>1270.496527</v>
      </c>
      <c r="AL11" t="s">
        <v>38</v>
      </c>
      <c r="AM11" t="s">
        <v>49</v>
      </c>
      <c r="AN11" t="str">
        <f t="shared" si="1"/>
        <v>Weak Economic Resilience with Very Weak Affordability.</v>
      </c>
      <c r="AP11" t="s">
        <v>40</v>
      </c>
    </row>
    <row r="12" spans="1:42" x14ac:dyDescent="0.4">
      <c r="A12" t="str">
        <f t="shared" si="0"/>
        <v>INDIA|2029</v>
      </c>
      <c r="B12" s="1" t="s">
        <v>41</v>
      </c>
      <c r="C12" s="1">
        <v>2029</v>
      </c>
      <c r="D12" s="4">
        <v>136712479650225</v>
      </c>
      <c r="E12" s="3">
        <v>4.1718562200000003E-2</v>
      </c>
      <c r="F12" s="2">
        <v>8514849364</v>
      </c>
      <c r="G12" s="3">
        <v>8.4116624760000001E-3</v>
      </c>
      <c r="H12" s="4">
        <v>5253763699966</v>
      </c>
      <c r="I12" s="3">
        <v>5.6189711230000002E-2</v>
      </c>
      <c r="J12" s="2">
        <v>1470250482</v>
      </c>
      <c r="K12" s="3">
        <v>5.4117861480000003E-3</v>
      </c>
      <c r="L12" s="3">
        <v>3.8429291259999998E-2</v>
      </c>
      <c r="M12" s="4">
        <v>1209997500000</v>
      </c>
      <c r="N12" s="4">
        <v>1113297857143</v>
      </c>
      <c r="O12" s="4">
        <v>-96699642857</v>
      </c>
      <c r="P12" s="3">
        <v>-1.840578457E-2</v>
      </c>
      <c r="Q12" s="3">
        <v>0.85914708900000003</v>
      </c>
      <c r="R12" s="3">
        <v>7.523811975E-3</v>
      </c>
      <c r="S12" s="4">
        <v>4513755788876</v>
      </c>
      <c r="T12" s="3">
        <v>6.4196428570000005E-2</v>
      </c>
      <c r="U12" s="4">
        <v>289767001089</v>
      </c>
      <c r="V12" s="3">
        <v>5.5154174729999998E-2</v>
      </c>
      <c r="W12" s="3">
        <v>3.6982142859999997E-2</v>
      </c>
      <c r="X12" s="4">
        <v>3573.3800209999999</v>
      </c>
      <c r="Y12" s="4">
        <v>3441.2287710000001</v>
      </c>
      <c r="Z12" s="6">
        <v>0.71676147550000002</v>
      </c>
      <c r="AA12" s="3">
        <v>9.9891711529999996E-3</v>
      </c>
      <c r="AB12" s="6">
        <v>0.31927476859999998</v>
      </c>
      <c r="AC12" s="3">
        <v>-5.4905761650000003E-3</v>
      </c>
      <c r="AD12" s="6">
        <v>0.39748670689999999</v>
      </c>
      <c r="AE12" s="3">
        <v>9.0829071979999995E-2</v>
      </c>
      <c r="AF12" s="3">
        <v>3.5829056460000001E-2</v>
      </c>
      <c r="AG12" s="3">
        <v>6.082895495E-2</v>
      </c>
      <c r="AH12" s="3">
        <v>5.6828971190000001E-2</v>
      </c>
      <c r="AI12" s="3">
        <v>0.2443160546</v>
      </c>
      <c r="AJ12" s="6">
        <v>0.20918538649999999</v>
      </c>
      <c r="AK12" s="4">
        <v>1367.8426919999999</v>
      </c>
      <c r="AL12" t="s">
        <v>38</v>
      </c>
      <c r="AM12" t="s">
        <v>50</v>
      </c>
      <c r="AN12" t="str">
        <f t="shared" si="1"/>
        <v>Weak Economic Resilience with Very Weak Affordability.</v>
      </c>
      <c r="AP12" t="s">
        <v>40</v>
      </c>
    </row>
    <row r="13" spans="1:42" x14ac:dyDescent="0.4">
      <c r="A13" t="str">
        <f t="shared" si="0"/>
        <v>INDIA|2030</v>
      </c>
      <c r="B13" s="1" t="s">
        <v>41</v>
      </c>
      <c r="C13" s="1">
        <v>2030</v>
      </c>
      <c r="D13" s="4">
        <v>142137128357288</v>
      </c>
      <c r="E13" s="3"/>
      <c r="F13" s="2">
        <v>8586617399</v>
      </c>
      <c r="G13" s="3"/>
      <c r="H13" s="4">
        <v>5548925439435</v>
      </c>
      <c r="I13" s="3"/>
      <c r="J13" s="2">
        <v>1475246999</v>
      </c>
      <c r="K13" s="3"/>
      <c r="L13" s="3">
        <v>3.9039239810000001E-2</v>
      </c>
      <c r="M13" s="4">
        <v>1274062857143</v>
      </c>
      <c r="N13" s="4">
        <v>1173941428571</v>
      </c>
      <c r="O13" s="4">
        <v>-100121428571</v>
      </c>
      <c r="P13" s="3">
        <v>-1.8043390499999999E-2</v>
      </c>
      <c r="Q13" s="3">
        <v>0.86549984530000001</v>
      </c>
      <c r="R13" s="3"/>
      <c r="S13" s="4">
        <v>4802594109468</v>
      </c>
      <c r="T13" s="3">
        <v>6.5785714290000005E-2</v>
      </c>
      <c r="U13" s="4">
        <v>315942083916</v>
      </c>
      <c r="V13" s="3">
        <v>5.6937525539999999E-2</v>
      </c>
      <c r="W13" s="3">
        <v>3.5000000000000003E-2</v>
      </c>
      <c r="X13" s="4">
        <v>3761.3534829999999</v>
      </c>
      <c r="Y13" s="4">
        <v>3629.706111</v>
      </c>
      <c r="Z13" s="6">
        <v>0.72378781869999997</v>
      </c>
      <c r="AA13" s="3"/>
      <c r="AB13" s="6">
        <v>0.3175605212</v>
      </c>
      <c r="AC13" s="3"/>
      <c r="AD13" s="6">
        <v>0.40622729749999997</v>
      </c>
      <c r="AE13" s="3">
        <v>9.3883022659999996E-2</v>
      </c>
      <c r="AF13" s="3">
        <v>3.8883007140000002E-2</v>
      </c>
      <c r="AG13" s="3">
        <v>6.3882905640000001E-2</v>
      </c>
      <c r="AH13" s="3">
        <v>5.9882921880000002E-2</v>
      </c>
      <c r="AI13" s="3">
        <v>0.2565318573</v>
      </c>
      <c r="AJ13" s="6">
        <v>0.2205901811</v>
      </c>
      <c r="AK13" s="4">
        <v>1474.4857039999999</v>
      </c>
      <c r="AL13" t="s">
        <v>38</v>
      </c>
      <c r="AM13" t="s">
        <v>51</v>
      </c>
      <c r="AN13" t="str">
        <f t="shared" si="1"/>
        <v>Weak Economic Resilience with Very Weak Affordability.</v>
      </c>
      <c r="AP13" t="s">
        <v>40</v>
      </c>
    </row>
    <row r="14" spans="1:42" x14ac:dyDescent="0.4">
      <c r="A14" t="str">
        <f t="shared" si="0"/>
        <v>USA|2019</v>
      </c>
      <c r="B14" s="1" t="s">
        <v>298</v>
      </c>
      <c r="C14" s="1">
        <v>2019</v>
      </c>
      <c r="D14" s="4">
        <v>87700000000000</v>
      </c>
      <c r="E14" s="3"/>
      <c r="F14" s="2">
        <v>7810000000</v>
      </c>
      <c r="G14" s="3"/>
      <c r="H14" s="4">
        <v>21540000000000</v>
      </c>
      <c r="I14" s="3"/>
      <c r="J14" s="2">
        <v>330226227</v>
      </c>
      <c r="K14" s="3"/>
      <c r="L14" s="3">
        <v>0.24561003419999999</v>
      </c>
      <c r="M14" s="4">
        <v>2512360000000</v>
      </c>
      <c r="N14" s="4">
        <v>1655100000000</v>
      </c>
      <c r="O14" s="4">
        <v>-857260000000</v>
      </c>
      <c r="P14" s="3">
        <v>-3.9798514389999998E-2</v>
      </c>
      <c r="Q14" s="3">
        <v>1.0547540280000001</v>
      </c>
      <c r="R14" s="3"/>
      <c r="S14" s="4">
        <v>22719401753434</v>
      </c>
      <c r="T14" s="3">
        <v>2.2499999999999999E-2</v>
      </c>
      <c r="U14" s="4">
        <v>511186539452</v>
      </c>
      <c r="V14" s="3">
        <v>2.373196562E-2</v>
      </c>
      <c r="W14" s="3">
        <v>0.02</v>
      </c>
      <c r="X14" s="4">
        <v>65228.011100000003</v>
      </c>
      <c r="Y14" s="4">
        <v>63923.450879999997</v>
      </c>
      <c r="Z14" s="6">
        <v>0.93600000000000005</v>
      </c>
      <c r="AA14" s="3"/>
      <c r="AB14" s="6">
        <v>0.41899999999999998</v>
      </c>
      <c r="AC14" s="3"/>
      <c r="AD14" s="6">
        <v>0.51700000000000002</v>
      </c>
      <c r="AE14" s="3">
        <v>0.1297805793</v>
      </c>
      <c r="AF14" s="3">
        <v>0.14478057929999999</v>
      </c>
      <c r="AG14" s="3">
        <v>4.8780579310000002E-2</v>
      </c>
      <c r="AH14" s="3">
        <v>2.3180579310000001E-2</v>
      </c>
      <c r="AI14" s="3">
        <v>0.34652231719999999</v>
      </c>
      <c r="AJ14" s="6">
        <v>0.52860187140000003</v>
      </c>
      <c r="AK14" s="4">
        <v>33048.424099999997</v>
      </c>
      <c r="AL14" t="s">
        <v>52</v>
      </c>
      <c r="AM14" t="s">
        <v>53</v>
      </c>
      <c r="AN14" t="str">
        <f t="shared" si="1"/>
        <v>Excellent Economic Resilience with Very Good Affordability.</v>
      </c>
      <c r="AP14" t="s">
        <v>40</v>
      </c>
    </row>
    <row r="15" spans="1:42" x14ac:dyDescent="0.4">
      <c r="A15" t="str">
        <f t="shared" si="0"/>
        <v>USA|2020</v>
      </c>
      <c r="B15" s="1" t="s">
        <v>298</v>
      </c>
      <c r="C15" s="1">
        <v>2020</v>
      </c>
      <c r="D15" s="4">
        <v>84750000000000</v>
      </c>
      <c r="E15" s="3">
        <v>-3.3637400230000003E-2</v>
      </c>
      <c r="F15" s="2">
        <v>7890000000</v>
      </c>
      <c r="G15" s="3">
        <v>1.0243277849999999E-2</v>
      </c>
      <c r="H15" s="4">
        <v>21350000000000</v>
      </c>
      <c r="I15" s="3">
        <v>-8.820798514E-3</v>
      </c>
      <c r="J15" s="2">
        <v>331577720</v>
      </c>
      <c r="K15" s="3">
        <v>4.0926276879999996E-3</v>
      </c>
      <c r="L15" s="3">
        <v>0.25191740410000002</v>
      </c>
      <c r="M15" s="4">
        <v>2346730000000</v>
      </c>
      <c r="N15" s="4">
        <v>1433850000000</v>
      </c>
      <c r="O15" s="4">
        <v>-912880000000</v>
      </c>
      <c r="P15" s="3">
        <v>-4.2757845429999997E-2</v>
      </c>
      <c r="Q15" s="3">
        <v>1.262079213</v>
      </c>
      <c r="R15" s="3">
        <v>0.19656259170000001</v>
      </c>
      <c r="S15" s="4">
        <v>26945391194615</v>
      </c>
      <c r="T15" s="3">
        <v>2.5000000000000001E-3</v>
      </c>
      <c r="U15" s="4">
        <v>67363477987</v>
      </c>
      <c r="V15" s="3">
        <v>3.155198032E-3</v>
      </c>
      <c r="W15" s="3">
        <v>3.0000000000000001E-3</v>
      </c>
      <c r="X15" s="4">
        <v>64389.127229999998</v>
      </c>
      <c r="Y15" s="4">
        <v>64195.959849999999</v>
      </c>
      <c r="Z15" s="6">
        <v>0.92500000000000004</v>
      </c>
      <c r="AA15" s="3">
        <v>-1.1752136749999999E-2</v>
      </c>
      <c r="AB15" s="6">
        <v>0.4</v>
      </c>
      <c r="AC15" s="3">
        <v>-4.7500000000000001E-2</v>
      </c>
      <c r="AD15" s="6">
        <v>0.52500000000000002</v>
      </c>
      <c r="AE15" s="3">
        <v>0.13434008350000001</v>
      </c>
      <c r="AF15" s="3">
        <v>0.1493400835</v>
      </c>
      <c r="AG15" s="3">
        <v>5.3340083480000001E-2</v>
      </c>
      <c r="AH15" s="3">
        <v>2.774008348E-2</v>
      </c>
      <c r="AI15" s="3">
        <v>0.36476033390000001</v>
      </c>
      <c r="AJ15" s="6">
        <v>0.57076469460000001</v>
      </c>
      <c r="AK15" s="4">
        <v>33702.878920000003</v>
      </c>
      <c r="AL15" t="s">
        <v>52</v>
      </c>
      <c r="AM15" t="s">
        <v>54</v>
      </c>
      <c r="AN15" t="str">
        <f t="shared" si="1"/>
        <v>Excellent Economic Resilience with Very Good Affordability.</v>
      </c>
      <c r="AP15" t="s">
        <v>40</v>
      </c>
    </row>
    <row r="16" spans="1:42" x14ac:dyDescent="0.4">
      <c r="A16" t="str">
        <f t="shared" si="0"/>
        <v>USA|2021</v>
      </c>
      <c r="B16" s="1" t="s">
        <v>298</v>
      </c>
      <c r="C16" s="1">
        <v>2021</v>
      </c>
      <c r="D16" s="4">
        <v>96140000000000</v>
      </c>
      <c r="E16" s="3">
        <v>0.13439528019999999</v>
      </c>
      <c r="F16" s="2">
        <v>7950000000</v>
      </c>
      <c r="G16" s="3">
        <v>7.6045627380000001E-3</v>
      </c>
      <c r="H16" s="4">
        <v>23680000000000</v>
      </c>
      <c r="I16" s="3">
        <v>0.1091334895</v>
      </c>
      <c r="J16" s="2">
        <v>332099760</v>
      </c>
      <c r="K16" s="3">
        <v>1.574412177E-3</v>
      </c>
      <c r="L16" s="3">
        <v>0.2463074683</v>
      </c>
      <c r="M16" s="4">
        <v>2849040000000</v>
      </c>
      <c r="N16" s="4">
        <v>1765850000000</v>
      </c>
      <c r="O16" s="4">
        <v>-1083190000000</v>
      </c>
      <c r="P16" s="3">
        <v>-4.5742820949999999E-2</v>
      </c>
      <c r="Q16" s="3">
        <v>1.200545548</v>
      </c>
      <c r="R16" s="3">
        <v>-4.875578689E-2</v>
      </c>
      <c r="S16" s="4">
        <v>28428918570048.602</v>
      </c>
      <c r="T16" s="3">
        <v>2.5000000000000001E-3</v>
      </c>
      <c r="U16" s="4">
        <v>71072296425</v>
      </c>
      <c r="V16" s="3">
        <v>3.0013638689999999E-3</v>
      </c>
      <c r="W16" s="3">
        <v>4.2000000000000003E-2</v>
      </c>
      <c r="X16" s="4">
        <v>71303.875679999997</v>
      </c>
      <c r="Y16" s="4">
        <v>68309.112899999993</v>
      </c>
      <c r="Z16" s="6">
        <v>0.92100000000000004</v>
      </c>
      <c r="AA16" s="3">
        <v>-4.3243243239999996E-3</v>
      </c>
      <c r="AB16" s="6">
        <v>0.39700000000000002</v>
      </c>
      <c r="AC16" s="3">
        <v>-7.5566750629999999E-3</v>
      </c>
      <c r="AD16" s="6">
        <v>0.52400000000000002</v>
      </c>
      <c r="AE16" s="3">
        <v>0.13913956159999999</v>
      </c>
      <c r="AF16" s="3">
        <v>0.1541395616</v>
      </c>
      <c r="AG16" s="3">
        <v>5.8139561559999997E-2</v>
      </c>
      <c r="AH16" s="3">
        <v>3.2539561559999999E-2</v>
      </c>
      <c r="AI16" s="3">
        <v>0.38395824629999997</v>
      </c>
      <c r="AJ16" s="6">
        <v>0.58152152970000004</v>
      </c>
      <c r="AK16" s="4">
        <v>35793.975160000002</v>
      </c>
      <c r="AL16" t="s">
        <v>55</v>
      </c>
      <c r="AM16" t="s">
        <v>56</v>
      </c>
      <c r="AN16" t="str">
        <f t="shared" si="1"/>
        <v>Excellent Economic Resilience with High Affordability.</v>
      </c>
      <c r="AP16" t="s">
        <v>40</v>
      </c>
    </row>
    <row r="17" spans="1:42" x14ac:dyDescent="0.4">
      <c r="A17" t="str">
        <f t="shared" si="0"/>
        <v>USA|2022</v>
      </c>
      <c r="B17" s="1" t="s">
        <v>298</v>
      </c>
      <c r="C17" s="1">
        <v>2022</v>
      </c>
      <c r="D17" s="4">
        <v>101560000000000</v>
      </c>
      <c r="E17" s="3">
        <v>5.6376118160000002E-2</v>
      </c>
      <c r="F17" s="2">
        <v>8020000000</v>
      </c>
      <c r="G17" s="3">
        <v>8.8050314469999991E-3</v>
      </c>
      <c r="H17" s="4">
        <v>26010000000000</v>
      </c>
      <c r="I17" s="3">
        <v>9.8395270270000001E-2</v>
      </c>
      <c r="J17" s="2">
        <v>334017321</v>
      </c>
      <c r="K17" s="3">
        <v>5.7740511470000004E-3</v>
      </c>
      <c r="L17" s="3">
        <v>0.25610476570000001</v>
      </c>
      <c r="M17" s="4">
        <v>3270280000000</v>
      </c>
      <c r="N17" s="4">
        <v>2090340000000</v>
      </c>
      <c r="O17" s="4">
        <v>-1179940000000</v>
      </c>
      <c r="P17" s="3">
        <v>-4.536485967E-2</v>
      </c>
      <c r="Q17" s="3">
        <v>1.189116171</v>
      </c>
      <c r="R17" s="3">
        <v>-9.5201523409999995E-3</v>
      </c>
      <c r="S17" s="4">
        <v>30928911613307</v>
      </c>
      <c r="T17" s="3">
        <v>2.5000000000000001E-2</v>
      </c>
      <c r="U17" s="4">
        <v>773222790333</v>
      </c>
      <c r="V17" s="3">
        <v>2.9727904279999998E-2</v>
      </c>
      <c r="W17" s="3">
        <v>8.3000000000000004E-2</v>
      </c>
      <c r="X17" s="4">
        <v>77870.213199999998</v>
      </c>
      <c r="Y17" s="4">
        <v>71406.985509999999</v>
      </c>
      <c r="Z17" s="6">
        <v>0.93</v>
      </c>
      <c r="AA17" s="3">
        <v>9.7719869710000008E-3</v>
      </c>
      <c r="AB17" s="6">
        <v>0.41699999999999998</v>
      </c>
      <c r="AC17" s="3">
        <v>4.7961630700000001E-2</v>
      </c>
      <c r="AD17" s="6">
        <v>0.51300000000000001</v>
      </c>
      <c r="AE17" s="3">
        <v>0.14419164379999999</v>
      </c>
      <c r="AF17" s="3">
        <v>0.1591916438</v>
      </c>
      <c r="AG17" s="3">
        <v>6.3191643749999998E-2</v>
      </c>
      <c r="AH17" s="3">
        <v>3.7591643750000001E-2</v>
      </c>
      <c r="AI17" s="3">
        <v>0.40416657499999997</v>
      </c>
      <c r="AJ17" s="6">
        <v>0.58517857669999995</v>
      </c>
      <c r="AK17" s="4">
        <v>36631.78357</v>
      </c>
      <c r="AL17" t="s">
        <v>55</v>
      </c>
      <c r="AM17" t="s">
        <v>57</v>
      </c>
      <c r="AN17" t="str">
        <f t="shared" si="1"/>
        <v>Excellent Economic Resilience with High Affordability.</v>
      </c>
      <c r="AP17" t="s">
        <v>40</v>
      </c>
    </row>
    <row r="18" spans="1:42" x14ac:dyDescent="0.4">
      <c r="A18" t="str">
        <f t="shared" si="0"/>
        <v>USA|2023</v>
      </c>
      <c r="B18" s="1" t="s">
        <v>298</v>
      </c>
      <c r="C18" s="1">
        <v>2023</v>
      </c>
      <c r="D18" s="4">
        <v>106800000000000</v>
      </c>
      <c r="E18" s="3">
        <v>5.1595116189999998E-2</v>
      </c>
      <c r="F18" s="2">
        <v>8090000000</v>
      </c>
      <c r="G18" s="3">
        <v>8.7281795509999999E-3</v>
      </c>
      <c r="H18" s="4">
        <v>27720000000000</v>
      </c>
      <c r="I18" s="3">
        <v>6.5743944639999996E-2</v>
      </c>
      <c r="J18" s="2">
        <v>336806231</v>
      </c>
      <c r="K18" s="3">
        <v>8.3495969360000005E-3</v>
      </c>
      <c r="L18" s="3">
        <v>0.25955056180000002</v>
      </c>
      <c r="M18" s="4">
        <v>3108510000000</v>
      </c>
      <c r="N18" s="4">
        <v>2045220000000</v>
      </c>
      <c r="O18" s="4">
        <v>-1063290000000</v>
      </c>
      <c r="P18" s="3">
        <v>-3.8358225109999998E-2</v>
      </c>
      <c r="Q18" s="3">
        <v>1.1965127719999999</v>
      </c>
      <c r="R18" s="3">
        <v>6.2202509230000003E-3</v>
      </c>
      <c r="S18" s="4">
        <v>33167334044723</v>
      </c>
      <c r="T18" s="3">
        <v>5.5E-2</v>
      </c>
      <c r="U18" s="4">
        <v>1824203372460</v>
      </c>
      <c r="V18" s="3">
        <v>6.5808202469999993E-2</v>
      </c>
      <c r="W18" s="3">
        <v>4.9000000000000002E-2</v>
      </c>
      <c r="X18" s="4">
        <v>82302.515360000005</v>
      </c>
      <c r="Y18" s="4">
        <v>78269.692110000004</v>
      </c>
      <c r="Z18" s="6">
        <v>0.93799999999999994</v>
      </c>
      <c r="AA18" s="3">
        <v>8.6021505379999998E-3</v>
      </c>
      <c r="AB18" s="6">
        <v>0.41799999999999998</v>
      </c>
      <c r="AC18" s="3">
        <v>2.392344498E-3</v>
      </c>
      <c r="AD18" s="6">
        <v>0.52</v>
      </c>
      <c r="AE18" s="3">
        <v>0.14950962500000001</v>
      </c>
      <c r="AF18" s="3">
        <v>0.16450962499999999</v>
      </c>
      <c r="AG18" s="3">
        <v>6.8509625000000005E-2</v>
      </c>
      <c r="AH18" s="3">
        <v>4.2909625E-2</v>
      </c>
      <c r="AI18" s="3">
        <v>0.4254385</v>
      </c>
      <c r="AJ18" s="6">
        <v>0.58082263420000002</v>
      </c>
      <c r="AK18" s="4">
        <v>40700.2399</v>
      </c>
      <c r="AL18" t="s">
        <v>58</v>
      </c>
      <c r="AM18" t="s">
        <v>59</v>
      </c>
      <c r="AN18" t="str">
        <f t="shared" si="1"/>
        <v>Excellent Economic Resilience with Excellent Affordability.</v>
      </c>
      <c r="AP18" t="s">
        <v>40</v>
      </c>
    </row>
    <row r="19" spans="1:42" x14ac:dyDescent="0.4">
      <c r="A19" t="str">
        <f t="shared" si="0"/>
        <v>USA|2024</v>
      </c>
      <c r="B19" s="1" t="s">
        <v>298</v>
      </c>
      <c r="C19" s="1">
        <v>2024</v>
      </c>
      <c r="D19" s="4">
        <v>112600000000000</v>
      </c>
      <c r="E19" s="3">
        <v>5.4307116099999997E-2</v>
      </c>
      <c r="F19" s="2">
        <v>8161972572</v>
      </c>
      <c r="G19" s="3">
        <v>8.8964860320000002E-3</v>
      </c>
      <c r="H19" s="4">
        <v>29180000000000</v>
      </c>
      <c r="I19" s="3">
        <v>5.2669552670000001E-2</v>
      </c>
      <c r="J19" s="2">
        <v>340110988</v>
      </c>
      <c r="K19" s="3">
        <v>9.8120423429999999E-3</v>
      </c>
      <c r="L19" s="3">
        <v>0.2591474245</v>
      </c>
      <c r="M19" s="4">
        <v>3296240000000</v>
      </c>
      <c r="N19" s="4">
        <v>2093250000000</v>
      </c>
      <c r="O19" s="4">
        <v>-1202990000000</v>
      </c>
      <c r="P19" s="3">
        <v>-4.1226525020000002E-2</v>
      </c>
      <c r="Q19" s="3">
        <v>1.2153760769999999</v>
      </c>
      <c r="R19" s="3">
        <v>1.576523489E-2</v>
      </c>
      <c r="S19" s="4">
        <v>35464673929172</v>
      </c>
      <c r="T19" s="3">
        <v>5.5E-2</v>
      </c>
      <c r="U19" s="4">
        <v>1950557066104</v>
      </c>
      <c r="V19" s="3">
        <v>6.6845684239999995E-2</v>
      </c>
      <c r="W19" s="3">
        <v>3.4000000000000002E-2</v>
      </c>
      <c r="X19" s="4">
        <v>85795.522729999997</v>
      </c>
      <c r="Y19" s="4">
        <v>82878.474950000003</v>
      </c>
      <c r="Z19" s="6">
        <v>0.94299999999999995</v>
      </c>
      <c r="AA19" s="3">
        <v>5.3304904049999999E-3</v>
      </c>
      <c r="AB19" s="6">
        <v>0.41899999999999998</v>
      </c>
      <c r="AC19" s="3">
        <v>2.386634845E-3</v>
      </c>
      <c r="AD19" s="6">
        <v>0.52400000000000002</v>
      </c>
      <c r="AE19" s="3">
        <v>0.15510750000000001</v>
      </c>
      <c r="AF19" s="3">
        <v>0.17010749999999999</v>
      </c>
      <c r="AG19" s="3">
        <v>7.4107500000000007E-2</v>
      </c>
      <c r="AH19" s="3">
        <v>4.8507500000000002E-2</v>
      </c>
      <c r="AI19" s="3">
        <v>0.44783000000000001</v>
      </c>
      <c r="AJ19" s="6">
        <v>0.59890521529999996</v>
      </c>
      <c r="AK19" s="4">
        <v>43428.320879999999</v>
      </c>
      <c r="AL19" t="s">
        <v>58</v>
      </c>
      <c r="AM19" t="s">
        <v>60</v>
      </c>
      <c r="AN19" t="str">
        <f t="shared" si="1"/>
        <v>Excellent Economic Resilience with Excellent Affordability.</v>
      </c>
      <c r="AP19" t="s">
        <v>40</v>
      </c>
    </row>
    <row r="20" spans="1:42" x14ac:dyDescent="0.4">
      <c r="A20" t="str">
        <f t="shared" si="0"/>
        <v>USA|2025</v>
      </c>
      <c r="B20" s="1" t="s">
        <v>298</v>
      </c>
      <c r="C20" s="1">
        <v>2025</v>
      </c>
      <c r="D20" s="4">
        <v>113795678000000</v>
      </c>
      <c r="E20" s="3">
        <v>1.061880995E-2</v>
      </c>
      <c r="F20" s="2">
        <v>8231613070</v>
      </c>
      <c r="G20" s="3">
        <v>8.5323121809999999E-3</v>
      </c>
      <c r="H20" s="4">
        <v>30507217000000</v>
      </c>
      <c r="I20" s="3">
        <v>4.5483790269999998E-2</v>
      </c>
      <c r="J20" s="2">
        <v>338000000</v>
      </c>
      <c r="K20" s="3">
        <v>-6.2067621290000001E-3</v>
      </c>
      <c r="L20" s="3">
        <v>0.26808765969999998</v>
      </c>
      <c r="M20" s="4">
        <v>3393000000000</v>
      </c>
      <c r="N20" s="4">
        <v>2393000000000</v>
      </c>
      <c r="O20" s="4">
        <v>-1000000000000</v>
      </c>
      <c r="P20" s="3">
        <v>-3.277912895E-2</v>
      </c>
      <c r="Q20" s="3">
        <v>1.1866044680000001</v>
      </c>
      <c r="R20" s="3">
        <v>-2.3673009179999999E-2</v>
      </c>
      <c r="S20" s="4">
        <v>36200000000000</v>
      </c>
      <c r="T20" s="3">
        <v>4.4999999999999998E-2</v>
      </c>
      <c r="U20" s="4">
        <v>1629000000000</v>
      </c>
      <c r="V20" s="3">
        <v>5.3397201060000003E-2</v>
      </c>
      <c r="W20" s="3">
        <v>2.35E-2</v>
      </c>
      <c r="X20" s="4">
        <v>90258.038459999996</v>
      </c>
      <c r="Y20" s="4">
        <v>88136.974560000002</v>
      </c>
      <c r="Z20" s="6">
        <v>0.94799999999999995</v>
      </c>
      <c r="AA20" s="3">
        <v>5.3022269350000003E-3</v>
      </c>
      <c r="AB20" s="6">
        <v>0.42</v>
      </c>
      <c r="AC20" s="3">
        <v>2.3809523810000002E-3</v>
      </c>
      <c r="AD20" s="6">
        <v>0.52800000000000002</v>
      </c>
      <c r="AE20" s="3">
        <v>0.161</v>
      </c>
      <c r="AF20" s="3">
        <v>0.17599999999999999</v>
      </c>
      <c r="AG20" s="3">
        <v>0.08</v>
      </c>
      <c r="AH20" s="3">
        <v>5.4399999999999997E-2</v>
      </c>
      <c r="AI20" s="3">
        <v>0.47139999999999999</v>
      </c>
      <c r="AJ20" s="6">
        <v>0.65331132970000005</v>
      </c>
      <c r="AK20" s="4">
        <v>46536.322569999997</v>
      </c>
      <c r="AL20" t="s">
        <v>58</v>
      </c>
      <c r="AM20" t="s">
        <v>61</v>
      </c>
      <c r="AN20" t="str">
        <f t="shared" si="1"/>
        <v>Excellent Economic Resilience with Excellent Affordability.</v>
      </c>
      <c r="AO20" t="s">
        <v>308</v>
      </c>
      <c r="AP20" t="s">
        <v>40</v>
      </c>
    </row>
    <row r="21" spans="1:42" x14ac:dyDescent="0.4">
      <c r="A21" t="str">
        <f t="shared" si="0"/>
        <v>USA|2026</v>
      </c>
      <c r="B21" s="1" t="s">
        <v>298</v>
      </c>
      <c r="C21" s="1">
        <v>2026</v>
      </c>
      <c r="D21" s="4">
        <v>120063810405112</v>
      </c>
      <c r="E21" s="3">
        <v>5.5082341569999999E-2</v>
      </c>
      <c r="F21" s="2">
        <v>8302201675</v>
      </c>
      <c r="G21" s="3">
        <v>8.575306441E-3</v>
      </c>
      <c r="H21" s="4">
        <v>32360367393707</v>
      </c>
      <c r="I21" s="3">
        <v>6.0744655719999999E-2</v>
      </c>
      <c r="J21" s="2">
        <v>340225598.80000001</v>
      </c>
      <c r="K21" s="3">
        <v>6.584611816E-3</v>
      </c>
      <c r="L21" s="3">
        <v>0.2695264067</v>
      </c>
      <c r="M21" s="4">
        <v>3653795714286</v>
      </c>
      <c r="N21" s="4">
        <v>2469782857143</v>
      </c>
      <c r="O21" s="4">
        <v>-1184012857143</v>
      </c>
      <c r="P21" s="3">
        <v>-3.6588362630000003E-2</v>
      </c>
      <c r="Q21" s="3">
        <v>1.221316844</v>
      </c>
      <c r="R21" s="3">
        <v>2.925353579E-2</v>
      </c>
      <c r="S21" s="4">
        <v>39522261786479</v>
      </c>
      <c r="T21" s="3">
        <v>6.1785714290000002E-2</v>
      </c>
      <c r="U21" s="4">
        <v>2441911174665</v>
      </c>
      <c r="V21" s="3">
        <v>7.5459933600000001E-2</v>
      </c>
      <c r="W21" s="3">
        <v>4.7714285709999998E-2</v>
      </c>
      <c r="X21" s="4">
        <v>95114.440270000006</v>
      </c>
      <c r="Y21" s="4">
        <v>90576.122690000004</v>
      </c>
      <c r="Z21" s="6">
        <v>0.94859292969999998</v>
      </c>
      <c r="AA21" s="3">
        <v>6.2545324839999999E-4</v>
      </c>
      <c r="AB21" s="6">
        <v>0.42085941389999998</v>
      </c>
      <c r="AC21" s="3">
        <v>2.0420451250000001E-3</v>
      </c>
      <c r="AD21" s="6">
        <v>0.52773351580000005</v>
      </c>
      <c r="AE21" s="3">
        <v>0.1668925</v>
      </c>
      <c r="AF21" s="3">
        <v>0.18189250000000001</v>
      </c>
      <c r="AG21" s="3">
        <v>8.5892499999999997E-2</v>
      </c>
      <c r="AH21" s="3">
        <v>6.0292499999999999E-2</v>
      </c>
      <c r="AI21" s="3">
        <v>0.49497000000000002</v>
      </c>
      <c r="AJ21" s="6">
        <v>0.65244811049999996</v>
      </c>
      <c r="AK21" s="4">
        <v>47800.055670000002</v>
      </c>
      <c r="AL21" t="s">
        <v>58</v>
      </c>
      <c r="AM21" t="s">
        <v>61</v>
      </c>
      <c r="AN21" t="str">
        <f t="shared" si="1"/>
        <v>Excellent Economic Resilience with Excellent Affordability.</v>
      </c>
      <c r="AP21" t="s">
        <v>40</v>
      </c>
    </row>
    <row r="22" spans="1:42" x14ac:dyDescent="0.4">
      <c r="A22" t="str">
        <f t="shared" si="0"/>
        <v>USA|2027</v>
      </c>
      <c r="B22" s="1" t="s">
        <v>298</v>
      </c>
      <c r="C22" s="1">
        <v>2027</v>
      </c>
      <c r="D22" s="4">
        <v>125735541889780</v>
      </c>
      <c r="E22" s="3">
        <v>4.7239309379999997E-2</v>
      </c>
      <c r="F22" s="2">
        <v>8372937901</v>
      </c>
      <c r="G22" s="3">
        <v>8.5201768609999996E-3</v>
      </c>
      <c r="H22" s="4">
        <v>34173461630718</v>
      </c>
      <c r="I22" s="3">
        <v>5.6028234009999997E-2</v>
      </c>
      <c r="J22" s="2">
        <v>341986344</v>
      </c>
      <c r="K22" s="3">
        <v>5.1752284960000002E-3</v>
      </c>
      <c r="L22" s="3">
        <v>0.27178839900000001</v>
      </c>
      <c r="M22" s="4">
        <v>3825238928572</v>
      </c>
      <c r="N22" s="4">
        <v>2605921071429</v>
      </c>
      <c r="O22" s="4">
        <v>-1219317857143</v>
      </c>
      <c r="P22" s="3">
        <v>-3.5680255930000002E-2</v>
      </c>
      <c r="Q22" s="3">
        <v>1.243033133</v>
      </c>
      <c r="R22" s="3">
        <v>1.7781044159999999E-2</v>
      </c>
      <c r="S22" s="4">
        <v>42478745078487</v>
      </c>
      <c r="T22" s="3">
        <v>6.9821428569999996E-2</v>
      </c>
      <c r="U22" s="4">
        <v>2965926665302</v>
      </c>
      <c r="V22" s="3">
        <v>8.6790349109999998E-2</v>
      </c>
      <c r="W22" s="3">
        <v>5.0553571429999999E-2</v>
      </c>
      <c r="X22" s="4">
        <v>99926.392470000006</v>
      </c>
      <c r="Y22" s="4">
        <v>94874.756450000001</v>
      </c>
      <c r="Z22" s="6">
        <v>0.95073819589999997</v>
      </c>
      <c r="AA22" s="3">
        <v>2.261524549E-3</v>
      </c>
      <c r="AB22" s="6">
        <v>0.42224361199999999</v>
      </c>
      <c r="AC22" s="3">
        <v>3.278197893E-3</v>
      </c>
      <c r="AD22" s="6">
        <v>0.52849458380000003</v>
      </c>
      <c r="AE22" s="3">
        <v>0.17307962499999999</v>
      </c>
      <c r="AF22" s="3">
        <v>0.188079625</v>
      </c>
      <c r="AG22" s="3">
        <v>9.2079624999999998E-2</v>
      </c>
      <c r="AH22" s="3">
        <v>6.6479625000000001E-2</v>
      </c>
      <c r="AI22" s="3">
        <v>0.51971849999999997</v>
      </c>
      <c r="AJ22" s="6">
        <v>0.66903629399999998</v>
      </c>
      <c r="AK22" s="4">
        <v>50140.794929999996</v>
      </c>
      <c r="AL22" t="s">
        <v>62</v>
      </c>
      <c r="AM22" t="s">
        <v>63</v>
      </c>
      <c r="AN22" t="str">
        <f t="shared" si="1"/>
        <v>Excellent Economic Resilience with Superb Affordability.</v>
      </c>
      <c r="AP22" t="s">
        <v>40</v>
      </c>
    </row>
    <row r="23" spans="1:42" x14ac:dyDescent="0.4">
      <c r="A23" t="str">
        <f t="shared" si="0"/>
        <v>USA|2028</v>
      </c>
      <c r="B23" s="1" t="s">
        <v>298</v>
      </c>
      <c r="C23" s="1">
        <v>2028</v>
      </c>
      <c r="D23" s="4">
        <v>131237442252096</v>
      </c>
      <c r="E23" s="3">
        <v>4.375771782E-2</v>
      </c>
      <c r="F23" s="2">
        <v>8443822776</v>
      </c>
      <c r="G23" s="3">
        <v>8.465950178E-3</v>
      </c>
      <c r="H23" s="4">
        <v>35989111080848</v>
      </c>
      <c r="I23" s="3">
        <v>5.3130393099999999E-2</v>
      </c>
      <c r="J23" s="2">
        <v>343589535.10000002</v>
      </c>
      <c r="K23" s="3">
        <v>4.6878804129999998E-3</v>
      </c>
      <c r="L23" s="3">
        <v>0.27422898880000002</v>
      </c>
      <c r="M23" s="4">
        <v>3996682142857</v>
      </c>
      <c r="N23" s="4">
        <v>2742059285714</v>
      </c>
      <c r="O23" s="4">
        <v>-1254622857143</v>
      </c>
      <c r="P23" s="3">
        <v>-3.4861179380000003E-2</v>
      </c>
      <c r="Q23" s="3">
        <v>1.2602965209999999</v>
      </c>
      <c r="R23" s="3">
        <v>1.388811584E-2</v>
      </c>
      <c r="S23" s="4">
        <v>45356951496476</v>
      </c>
      <c r="T23" s="3">
        <v>7.7857142860000006E-2</v>
      </c>
      <c r="U23" s="4">
        <v>3531362652226</v>
      </c>
      <c r="V23" s="3">
        <v>9.8123086289999994E-2</v>
      </c>
      <c r="W23" s="3">
        <v>5.339285714E-2</v>
      </c>
      <c r="X23" s="4">
        <v>104744.49129999999</v>
      </c>
      <c r="Y23" s="4">
        <v>99151.883669999996</v>
      </c>
      <c r="Z23" s="6">
        <v>0.9534134178</v>
      </c>
      <c r="AA23" s="3">
        <v>2.8138365420000001E-3</v>
      </c>
      <c r="AB23" s="6">
        <v>0.42380656210000001</v>
      </c>
      <c r="AC23" s="3">
        <v>3.6878855280000002E-3</v>
      </c>
      <c r="AD23" s="6">
        <v>0.52960685559999998</v>
      </c>
      <c r="AE23" s="3">
        <v>0.17957610630000001</v>
      </c>
      <c r="AF23" s="3">
        <v>0.1945761063</v>
      </c>
      <c r="AG23" s="3">
        <v>9.8576106250000003E-2</v>
      </c>
      <c r="AH23" s="3">
        <v>7.2976106250000006E-2</v>
      </c>
      <c r="AI23" s="3">
        <v>0.54570442500000005</v>
      </c>
      <c r="AJ23" s="6">
        <v>0.68694914809999996</v>
      </c>
      <c r="AK23" s="4">
        <v>52511.517339999999</v>
      </c>
      <c r="AL23" t="s">
        <v>62</v>
      </c>
      <c r="AM23" t="s">
        <v>64</v>
      </c>
      <c r="AN23" t="str">
        <f t="shared" si="1"/>
        <v>Excellent Economic Resilience with Superb Affordability.</v>
      </c>
      <c r="AP23" t="s">
        <v>40</v>
      </c>
    </row>
    <row r="24" spans="1:42" x14ac:dyDescent="0.4">
      <c r="A24" t="str">
        <f t="shared" si="0"/>
        <v>USA|2029</v>
      </c>
      <c r="B24" s="1" t="s">
        <v>298</v>
      </c>
      <c r="C24" s="1">
        <v>2029</v>
      </c>
      <c r="D24" s="4">
        <v>136712479650225</v>
      </c>
      <c r="E24" s="3">
        <v>4.1718562200000003E-2</v>
      </c>
      <c r="F24" s="2">
        <v>8514849364</v>
      </c>
      <c r="G24" s="3">
        <v>8.4116624760000001E-3</v>
      </c>
      <c r="H24" s="4">
        <v>37820753641775</v>
      </c>
      <c r="I24" s="3">
        <v>5.0894354039999999E-2</v>
      </c>
      <c r="J24" s="2">
        <v>345137504.5</v>
      </c>
      <c r="K24" s="3">
        <v>4.5052869019999997E-3</v>
      </c>
      <c r="L24" s="3">
        <v>0.27664448580000001</v>
      </c>
      <c r="M24" s="4">
        <v>4168125357143</v>
      </c>
      <c r="N24" s="4">
        <v>2878197500000</v>
      </c>
      <c r="O24" s="4">
        <v>-1289927857143</v>
      </c>
      <c r="P24" s="3">
        <v>-3.4106349899999999E-2</v>
      </c>
      <c r="Q24" s="3">
        <v>1.275988857</v>
      </c>
      <c r="R24" s="3">
        <v>1.245130455E-2</v>
      </c>
      <c r="S24" s="4">
        <v>48258860210723</v>
      </c>
      <c r="T24" s="3">
        <v>8.5892857140000001E-2</v>
      </c>
      <c r="U24" s="4">
        <v>4145091385957</v>
      </c>
      <c r="V24" s="3">
        <v>0.1095983286</v>
      </c>
      <c r="W24" s="3">
        <v>5.6232142860000001E-2</v>
      </c>
      <c r="X24" s="4">
        <v>109581.6976</v>
      </c>
      <c r="Y24" s="4">
        <v>103419.6839</v>
      </c>
      <c r="Z24" s="6">
        <v>0.9562783292</v>
      </c>
      <c r="AA24" s="3">
        <v>3.0048994849999999E-3</v>
      </c>
      <c r="AB24" s="6">
        <v>0.42543340639999999</v>
      </c>
      <c r="AC24" s="3">
        <v>3.8239693760000002E-3</v>
      </c>
      <c r="AD24" s="6">
        <v>0.53084492279999995</v>
      </c>
      <c r="AE24" s="3">
        <v>0.18639741160000001</v>
      </c>
      <c r="AF24" s="3">
        <v>0.20139741159999999</v>
      </c>
      <c r="AG24" s="3">
        <v>0.1053974116</v>
      </c>
      <c r="AH24" s="3">
        <v>7.9797411560000003E-2</v>
      </c>
      <c r="AI24" s="3">
        <v>0.57298964630000004</v>
      </c>
      <c r="AJ24" s="6">
        <v>0.70592945360000003</v>
      </c>
      <c r="AK24" s="4">
        <v>54899.814120000003</v>
      </c>
      <c r="AL24" t="s">
        <v>62</v>
      </c>
      <c r="AM24" t="s">
        <v>65</v>
      </c>
      <c r="AN24" t="str">
        <f t="shared" si="1"/>
        <v>Superb Economic Resilience with Superb Affordability.</v>
      </c>
      <c r="AP24" t="s">
        <v>40</v>
      </c>
    </row>
    <row r="25" spans="1:42" x14ac:dyDescent="0.4">
      <c r="A25" t="str">
        <f t="shared" si="0"/>
        <v>USA|2030</v>
      </c>
      <c r="B25" s="1" t="s">
        <v>298</v>
      </c>
      <c r="C25" s="1">
        <v>2030</v>
      </c>
      <c r="D25" s="4">
        <v>141834754671550</v>
      </c>
      <c r="E25" s="3"/>
      <c r="F25" s="2">
        <v>8586617399</v>
      </c>
      <c r="G25" s="3"/>
      <c r="H25" s="4">
        <v>39740172889890</v>
      </c>
      <c r="I25" s="3"/>
      <c r="J25" s="2">
        <v>346763170.89999998</v>
      </c>
      <c r="K25" s="3"/>
      <c r="L25" s="3">
        <v>0.28018642529999999</v>
      </c>
      <c r="M25" s="4">
        <v>4339568571429</v>
      </c>
      <c r="N25" s="4">
        <v>3014335714286</v>
      </c>
      <c r="O25" s="4">
        <v>-1325232857143</v>
      </c>
      <c r="P25" s="3">
        <v>-3.3347435619999997E-2</v>
      </c>
      <c r="Q25" s="3">
        <v>1.291128013</v>
      </c>
      <c r="R25" s="3"/>
      <c r="S25" s="4">
        <v>51309650444299</v>
      </c>
      <c r="T25" s="3">
        <v>9.3928571429999996E-2</v>
      </c>
      <c r="U25" s="4">
        <v>4819442166733</v>
      </c>
      <c r="V25" s="3">
        <v>0.12127380979999999</v>
      </c>
      <c r="W25" s="3">
        <v>5.9071428570000001E-2</v>
      </c>
      <c r="X25" s="4">
        <v>114603.2111</v>
      </c>
      <c r="Y25" s="4">
        <v>107833.4357</v>
      </c>
      <c r="Z25" s="6">
        <v>0.95921414130000004</v>
      </c>
      <c r="AA25" s="3"/>
      <c r="AB25" s="6">
        <v>0.42708416919999997</v>
      </c>
      <c r="AC25" s="3"/>
      <c r="AD25" s="6">
        <v>0.53212997210000001</v>
      </c>
      <c r="AE25" s="3">
        <v>0.19355978209999999</v>
      </c>
      <c r="AF25" s="3">
        <v>0.20855978210000001</v>
      </c>
      <c r="AG25" s="3">
        <v>0.11255978210000001</v>
      </c>
      <c r="AH25" s="3">
        <v>8.6959782139999997E-2</v>
      </c>
      <c r="AI25" s="3">
        <v>0.60163912860000002</v>
      </c>
      <c r="AJ25" s="6">
        <v>0.72720430840000005</v>
      </c>
      <c r="AK25" s="4">
        <v>57381.403149999998</v>
      </c>
      <c r="AL25" t="s">
        <v>62</v>
      </c>
      <c r="AM25" t="s">
        <v>66</v>
      </c>
      <c r="AN25" t="str">
        <f t="shared" si="1"/>
        <v>Superb Economic Resilience with Superb Affordability.</v>
      </c>
      <c r="AP25" t="s">
        <v>40</v>
      </c>
    </row>
    <row r="26" spans="1:42" x14ac:dyDescent="0.4">
      <c r="A26" t="str">
        <f t="shared" si="0"/>
        <v>UNITED KINGDOM|2019</v>
      </c>
      <c r="B26" s="1" t="s">
        <v>303</v>
      </c>
      <c r="C26" s="1">
        <v>2019</v>
      </c>
      <c r="D26" s="4">
        <v>87700000000000</v>
      </c>
      <c r="E26" s="3"/>
      <c r="F26" s="2">
        <v>7810000000</v>
      </c>
      <c r="G26" s="3"/>
      <c r="H26" s="4">
        <v>2880000000000</v>
      </c>
      <c r="I26" s="3"/>
      <c r="J26" s="2">
        <v>66631000</v>
      </c>
      <c r="K26" s="3"/>
      <c r="L26" s="3">
        <v>3.2839224629999997E-2</v>
      </c>
      <c r="M26" s="4">
        <v>745700000000</v>
      </c>
      <c r="N26" s="4">
        <v>718800000000</v>
      </c>
      <c r="O26" s="4">
        <v>-26900000000</v>
      </c>
      <c r="P26" s="3">
        <v>-9.3402777780000005E-3</v>
      </c>
      <c r="Q26" s="3">
        <v>0.79600000000000004</v>
      </c>
      <c r="R26" s="3"/>
      <c r="S26" s="4">
        <v>2292480000000</v>
      </c>
      <c r="T26" s="3">
        <v>7.4999999999999997E-3</v>
      </c>
      <c r="U26" s="4">
        <v>17193600000</v>
      </c>
      <c r="V26" s="3">
        <v>5.9699999999999996E-3</v>
      </c>
      <c r="W26" s="3">
        <v>1.7000000000000001E-2</v>
      </c>
      <c r="X26" s="4">
        <v>43223.124369999998</v>
      </c>
      <c r="Y26" s="4">
        <v>42488.331259999999</v>
      </c>
      <c r="Z26" s="6">
        <v>0.92</v>
      </c>
      <c r="AA26" s="3"/>
      <c r="AB26" s="6">
        <v>0.36</v>
      </c>
      <c r="AC26" s="3"/>
      <c r="AD26" s="6">
        <v>0.56000000000000005</v>
      </c>
      <c r="AE26" s="3">
        <v>0.15337673499999999</v>
      </c>
      <c r="AF26" s="3">
        <v>8.4376735009999995E-2</v>
      </c>
      <c r="AG26" s="3">
        <v>4.337673501E-2</v>
      </c>
      <c r="AH26" s="3">
        <v>1.4376735010000001E-2</v>
      </c>
      <c r="AI26" s="3">
        <v>0.29550694</v>
      </c>
      <c r="AJ26" s="6">
        <v>0.3130358869</v>
      </c>
      <c r="AK26" s="4">
        <v>23793.465499999998</v>
      </c>
      <c r="AL26" t="s">
        <v>67</v>
      </c>
      <c r="AM26" t="s">
        <v>68</v>
      </c>
      <c r="AN26" t="str">
        <f t="shared" si="1"/>
        <v>Satisfactory Economic Resilience with Satisfactory Affordability.</v>
      </c>
      <c r="AP26" t="s">
        <v>40</v>
      </c>
    </row>
    <row r="27" spans="1:42" x14ac:dyDescent="0.4">
      <c r="A27" t="str">
        <f t="shared" si="0"/>
        <v>UNITED KINGDOM|2020</v>
      </c>
      <c r="B27" s="1" t="s">
        <v>303</v>
      </c>
      <c r="C27" s="1">
        <v>2020</v>
      </c>
      <c r="D27" s="4">
        <v>84750000000000</v>
      </c>
      <c r="E27" s="3">
        <v>-3.3637400230000003E-2</v>
      </c>
      <c r="F27" s="2">
        <v>7890000000</v>
      </c>
      <c r="G27" s="3">
        <v>1.0243277849999999E-2</v>
      </c>
      <c r="H27" s="4">
        <v>2720000000000</v>
      </c>
      <c r="I27" s="3">
        <v>-5.5555555559999997E-2</v>
      </c>
      <c r="J27" s="2">
        <v>66744000</v>
      </c>
      <c r="K27" s="3">
        <v>1.69590731E-3</v>
      </c>
      <c r="L27" s="3">
        <v>3.209439528E-2</v>
      </c>
      <c r="M27" s="4">
        <v>620700000000</v>
      </c>
      <c r="N27" s="4">
        <v>636000000000</v>
      </c>
      <c r="O27" s="4">
        <v>15300000000</v>
      </c>
      <c r="P27" s="3">
        <v>5.6249999999999998E-3</v>
      </c>
      <c r="Q27" s="3">
        <v>0.84499999999999997</v>
      </c>
      <c r="R27" s="3">
        <v>6.1557788939999997E-2</v>
      </c>
      <c r="S27" s="4">
        <v>2298400000000</v>
      </c>
      <c r="T27" s="3">
        <v>1E-3</v>
      </c>
      <c r="U27" s="4">
        <v>2298400000</v>
      </c>
      <c r="V27" s="3">
        <v>8.4500000000000005E-4</v>
      </c>
      <c r="W27" s="3">
        <v>0.01</v>
      </c>
      <c r="X27" s="4">
        <v>40752.726840000003</v>
      </c>
      <c r="Y27" s="4">
        <v>40345.199569999997</v>
      </c>
      <c r="Z27" s="6">
        <v>0.93</v>
      </c>
      <c r="AA27" s="3">
        <v>1.086956522E-2</v>
      </c>
      <c r="AB27" s="6">
        <v>0.35399999999999998</v>
      </c>
      <c r="AC27" s="3">
        <v>-1.6949152540000002E-2</v>
      </c>
      <c r="AD27" s="6">
        <v>0.57599999999999996</v>
      </c>
      <c r="AE27" s="3">
        <v>0.15726498420000001</v>
      </c>
      <c r="AF27" s="3">
        <v>8.8264984219999995E-2</v>
      </c>
      <c r="AG27" s="3">
        <v>4.726498422E-2</v>
      </c>
      <c r="AH27" s="3">
        <v>1.8264984219999999E-2</v>
      </c>
      <c r="AI27" s="3">
        <v>0.3110599369</v>
      </c>
      <c r="AJ27" s="6">
        <v>0.34793433219999997</v>
      </c>
      <c r="AK27" s="4">
        <v>23238.83495</v>
      </c>
      <c r="AL27" t="s">
        <v>67</v>
      </c>
      <c r="AM27" t="s">
        <v>69</v>
      </c>
      <c r="AN27" t="str">
        <f t="shared" si="1"/>
        <v>Satisfactory Economic Resilience with Satisfactory Affordability.</v>
      </c>
      <c r="AP27" t="s">
        <v>40</v>
      </c>
    </row>
    <row r="28" spans="1:42" x14ac:dyDescent="0.4">
      <c r="A28" t="str">
        <f t="shared" si="0"/>
        <v>UNITED KINGDOM|2021</v>
      </c>
      <c r="B28" s="1" t="s">
        <v>303</v>
      </c>
      <c r="C28" s="1">
        <v>2021</v>
      </c>
      <c r="D28" s="4">
        <v>96140000000000</v>
      </c>
      <c r="E28" s="3">
        <v>0.13439528019999999</v>
      </c>
      <c r="F28" s="2">
        <v>7950000000</v>
      </c>
      <c r="G28" s="3">
        <v>7.6045627380000001E-3</v>
      </c>
      <c r="H28" s="4">
        <v>3190000000000</v>
      </c>
      <c r="I28" s="3">
        <v>0.17279411759999999</v>
      </c>
      <c r="J28" s="2">
        <v>66984000</v>
      </c>
      <c r="K28" s="3">
        <v>3.5958288389999998E-3</v>
      </c>
      <c r="L28" s="3">
        <v>3.3180778029999997E-2</v>
      </c>
      <c r="M28" s="4">
        <v>679400000000</v>
      </c>
      <c r="N28" s="4">
        <v>680300000000</v>
      </c>
      <c r="O28" s="4">
        <v>900000000</v>
      </c>
      <c r="P28" s="3">
        <v>2.8213166140000001E-4</v>
      </c>
      <c r="Q28" s="3">
        <v>0.95399999999999996</v>
      </c>
      <c r="R28" s="3">
        <v>0.12899408279999999</v>
      </c>
      <c r="S28" s="4">
        <v>3043260000000</v>
      </c>
      <c r="T28" s="3">
        <v>2.5000000000000001E-3</v>
      </c>
      <c r="U28" s="4">
        <v>7608150000</v>
      </c>
      <c r="V28" s="3">
        <v>2.385E-3</v>
      </c>
      <c r="W28" s="3">
        <v>2.5000000000000001E-2</v>
      </c>
      <c r="X28" s="4">
        <v>47623.313029999998</v>
      </c>
      <c r="Y28" s="4">
        <v>46432.730199999998</v>
      </c>
      <c r="Z28" s="6">
        <v>0.92</v>
      </c>
      <c r="AA28" s="3">
        <v>-1.075268817E-2</v>
      </c>
      <c r="AB28" s="6">
        <v>0.34399999999999997</v>
      </c>
      <c r="AC28" s="3">
        <v>-2.9069767440000002E-2</v>
      </c>
      <c r="AD28" s="6">
        <v>0.57599999999999996</v>
      </c>
      <c r="AE28" s="3">
        <v>0.16135787809999999</v>
      </c>
      <c r="AF28" s="3">
        <v>9.2357878130000001E-2</v>
      </c>
      <c r="AG28" s="3">
        <v>5.135787813E-2</v>
      </c>
      <c r="AH28" s="3">
        <v>2.2357878130000002E-2</v>
      </c>
      <c r="AI28" s="3">
        <v>0.32743151250000002</v>
      </c>
      <c r="AJ28" s="6">
        <v>0.35850942219999998</v>
      </c>
      <c r="AK28" s="4">
        <v>26745.2526</v>
      </c>
      <c r="AL28" t="s">
        <v>70</v>
      </c>
      <c r="AM28" t="s">
        <v>71</v>
      </c>
      <c r="AN28" t="str">
        <f t="shared" si="1"/>
        <v>Satisfactory Economic Resilience with Good Affordability.</v>
      </c>
      <c r="AP28" t="s">
        <v>40</v>
      </c>
    </row>
    <row r="29" spans="1:42" x14ac:dyDescent="0.4">
      <c r="A29" t="str">
        <f t="shared" si="0"/>
        <v>UNITED KINGDOM|2022</v>
      </c>
      <c r="B29" s="1" t="s">
        <v>303</v>
      </c>
      <c r="C29" s="1">
        <v>2022</v>
      </c>
      <c r="D29" s="4">
        <v>101560000000000</v>
      </c>
      <c r="E29" s="3">
        <v>5.6376118160000002E-2</v>
      </c>
      <c r="F29" s="2">
        <v>8020000000</v>
      </c>
      <c r="G29" s="3">
        <v>8.8050314469999991E-3</v>
      </c>
      <c r="H29" s="4">
        <v>3180000000000</v>
      </c>
      <c r="I29" s="3">
        <v>-3.1347962379999999E-3</v>
      </c>
      <c r="J29" s="2">
        <v>67604000</v>
      </c>
      <c r="K29" s="3">
        <v>9.2559417169999995E-3</v>
      </c>
      <c r="L29" s="3">
        <v>3.1311539979999997E-2</v>
      </c>
      <c r="M29" s="4">
        <v>906900000000</v>
      </c>
      <c r="N29" s="4">
        <v>879100000000</v>
      </c>
      <c r="O29" s="4">
        <v>-27800000000</v>
      </c>
      <c r="P29" s="3">
        <v>-8.7421383650000007E-3</v>
      </c>
      <c r="Q29" s="3">
        <v>0.94299999999999995</v>
      </c>
      <c r="R29" s="3">
        <v>-1.1530398319999999E-2</v>
      </c>
      <c r="S29" s="4">
        <v>2998740000000</v>
      </c>
      <c r="T29" s="3">
        <v>0.01</v>
      </c>
      <c r="U29" s="4">
        <v>29987400000</v>
      </c>
      <c r="V29" s="3">
        <v>9.4299999999999991E-3</v>
      </c>
      <c r="W29" s="3">
        <v>7.9000000000000001E-2</v>
      </c>
      <c r="X29" s="4">
        <v>47038.636769999997</v>
      </c>
      <c r="Y29" s="4">
        <v>43322.584459999998</v>
      </c>
      <c r="Z29" s="6">
        <v>0.94</v>
      </c>
      <c r="AA29" s="3">
        <v>2.173913043E-2</v>
      </c>
      <c r="AB29" s="6">
        <v>0.35499999999999998</v>
      </c>
      <c r="AC29" s="3">
        <v>3.0985915490000002E-2</v>
      </c>
      <c r="AD29" s="6">
        <v>0.58499999999999996</v>
      </c>
      <c r="AE29" s="3">
        <v>0.16566618750000001</v>
      </c>
      <c r="AF29" s="3">
        <v>9.66661875E-2</v>
      </c>
      <c r="AG29" s="3">
        <v>5.5666187499999999E-2</v>
      </c>
      <c r="AH29" s="3">
        <v>2.6666187500000001E-2</v>
      </c>
      <c r="AI29" s="3">
        <v>0.34466475000000002</v>
      </c>
      <c r="AJ29" s="6">
        <v>0.35780415160000001</v>
      </c>
      <c r="AK29" s="4">
        <v>25343.711910000002</v>
      </c>
      <c r="AL29" t="s">
        <v>70</v>
      </c>
      <c r="AM29" t="s">
        <v>71</v>
      </c>
      <c r="AN29" t="str">
        <f t="shared" si="1"/>
        <v>Satisfactory Economic Resilience with Good Affordability.</v>
      </c>
      <c r="AP29" t="s">
        <v>40</v>
      </c>
    </row>
    <row r="30" spans="1:42" x14ac:dyDescent="0.4">
      <c r="A30" t="str">
        <f t="shared" si="0"/>
        <v>UNITED KINGDOM|2023</v>
      </c>
      <c r="B30" s="1" t="s">
        <v>303</v>
      </c>
      <c r="C30" s="1">
        <v>2023</v>
      </c>
      <c r="D30" s="4">
        <v>106800000000000</v>
      </c>
      <c r="E30" s="3">
        <v>5.1595116189999998E-2</v>
      </c>
      <c r="F30" s="2">
        <v>8090000000</v>
      </c>
      <c r="G30" s="3">
        <v>8.7281795509999999E-3</v>
      </c>
      <c r="H30" s="4">
        <v>3420000000000</v>
      </c>
      <c r="I30" s="3">
        <v>7.5471698109999999E-2</v>
      </c>
      <c r="J30" s="2">
        <v>68492000</v>
      </c>
      <c r="K30" s="3">
        <v>1.313531744E-2</v>
      </c>
      <c r="L30" s="3">
        <v>3.2022471910000003E-2</v>
      </c>
      <c r="M30" s="4">
        <v>910400000000</v>
      </c>
      <c r="N30" s="4">
        <v>878300000000</v>
      </c>
      <c r="O30" s="4">
        <v>-32100000000</v>
      </c>
      <c r="P30" s="3">
        <v>-9.3859649119999999E-3</v>
      </c>
      <c r="Q30" s="3">
        <v>0.93200000000000005</v>
      </c>
      <c r="R30" s="3">
        <v>-1.166489926E-2</v>
      </c>
      <c r="S30" s="4">
        <v>3187440000000</v>
      </c>
      <c r="T30" s="3">
        <v>4.4999999999999998E-2</v>
      </c>
      <c r="U30" s="4">
        <v>143434800000</v>
      </c>
      <c r="V30" s="3">
        <v>4.1939999999999998E-2</v>
      </c>
      <c r="W30" s="3">
        <v>6.8000000000000005E-2</v>
      </c>
      <c r="X30" s="4">
        <v>49932.83887</v>
      </c>
      <c r="Y30" s="4">
        <v>46537.405830000003</v>
      </c>
      <c r="Z30" s="6">
        <v>0.95</v>
      </c>
      <c r="AA30" s="3">
        <v>1.0638297870000001E-2</v>
      </c>
      <c r="AB30" s="6">
        <v>0.33100000000000002</v>
      </c>
      <c r="AC30" s="3">
        <v>-7.2507552870000005E-2</v>
      </c>
      <c r="AD30" s="6">
        <v>0.61899999999999999</v>
      </c>
      <c r="AE30" s="3">
        <v>0.17020125</v>
      </c>
      <c r="AF30" s="3">
        <v>0.10120125000000001</v>
      </c>
      <c r="AG30" s="3">
        <v>6.0201249999999998E-2</v>
      </c>
      <c r="AH30" s="3">
        <v>3.120125E-2</v>
      </c>
      <c r="AI30" s="3">
        <v>0.36280499999999999</v>
      </c>
      <c r="AJ30" s="6">
        <v>0.34350150699999998</v>
      </c>
      <c r="AK30" s="4">
        <v>28806.654210000001</v>
      </c>
      <c r="AL30" t="s">
        <v>70</v>
      </c>
      <c r="AM30" t="s">
        <v>72</v>
      </c>
      <c r="AN30" t="str">
        <f t="shared" si="1"/>
        <v>Satisfactory Economic Resilience with Good Affordability.</v>
      </c>
      <c r="AP30" t="s">
        <v>40</v>
      </c>
    </row>
    <row r="31" spans="1:42" x14ac:dyDescent="0.4">
      <c r="A31" t="str">
        <f t="shared" si="0"/>
        <v>UNITED KINGDOM|2024</v>
      </c>
      <c r="B31" s="1" t="s">
        <v>303</v>
      </c>
      <c r="C31" s="1">
        <v>2024</v>
      </c>
      <c r="D31" s="4">
        <v>112600000000000</v>
      </c>
      <c r="E31" s="3">
        <v>5.4307116099999997E-2</v>
      </c>
      <c r="F31" s="2">
        <v>8161972572</v>
      </c>
      <c r="G31" s="3">
        <v>8.8964860320000002E-3</v>
      </c>
      <c r="H31" s="4">
        <v>3686033040000</v>
      </c>
      <c r="I31" s="3">
        <v>7.7787438599999995E-2</v>
      </c>
      <c r="J31" s="2">
        <v>69226000</v>
      </c>
      <c r="K31" s="3">
        <v>1.071658004E-2</v>
      </c>
      <c r="L31" s="3">
        <v>3.273563979E-2</v>
      </c>
      <c r="M31" s="4">
        <v>918700000000</v>
      </c>
      <c r="N31" s="4">
        <v>893200000000</v>
      </c>
      <c r="O31" s="4">
        <v>-25500000000</v>
      </c>
      <c r="P31" s="3">
        <v>-6.9180063560000003E-3</v>
      </c>
      <c r="Q31" s="3">
        <v>0.94399999999999995</v>
      </c>
      <c r="R31" s="3">
        <v>1.287553648E-2</v>
      </c>
      <c r="S31" s="4">
        <v>3479615189760</v>
      </c>
      <c r="T31" s="3">
        <v>0.05</v>
      </c>
      <c r="U31" s="4">
        <v>173980759488</v>
      </c>
      <c r="V31" s="3">
        <v>4.7199999999999999E-2</v>
      </c>
      <c r="W31" s="3">
        <v>3.3000000000000002E-2</v>
      </c>
      <c r="X31" s="4">
        <v>53246.367550000003</v>
      </c>
      <c r="Y31" s="4">
        <v>51489.237419999998</v>
      </c>
      <c r="Z31" s="6">
        <v>0.94799999999999995</v>
      </c>
      <c r="AA31" s="3">
        <v>-2.1052631579999998E-3</v>
      </c>
      <c r="AB31" s="6">
        <v>0.32900000000000001</v>
      </c>
      <c r="AC31" s="3">
        <v>-6.0790273560000002E-3</v>
      </c>
      <c r="AD31" s="6">
        <v>0.61899999999999999</v>
      </c>
      <c r="AE31" s="3">
        <v>0.17497499999999999</v>
      </c>
      <c r="AF31" s="3">
        <v>0.105975</v>
      </c>
      <c r="AG31" s="3">
        <v>6.4975000000000005E-2</v>
      </c>
      <c r="AH31" s="3">
        <v>3.5975E-2</v>
      </c>
      <c r="AI31" s="3">
        <v>0.38190000000000002</v>
      </c>
      <c r="AJ31" s="6">
        <v>0.36051763339999998</v>
      </c>
      <c r="AK31" s="4">
        <v>31871.837960000001</v>
      </c>
      <c r="AL31" t="s">
        <v>52</v>
      </c>
      <c r="AM31" t="s">
        <v>73</v>
      </c>
      <c r="AN31" t="str">
        <f t="shared" si="1"/>
        <v>Satisfactory Economic Resilience with Very Good Affordability.</v>
      </c>
      <c r="AP31" t="s">
        <v>40</v>
      </c>
    </row>
    <row r="32" spans="1:42" x14ac:dyDescent="0.4">
      <c r="A32" t="str">
        <f t="shared" si="0"/>
        <v>UNITED KINGDOM|2025</v>
      </c>
      <c r="B32" s="1" t="s">
        <v>303</v>
      </c>
      <c r="C32" s="1">
        <v>2025</v>
      </c>
      <c r="D32" s="4">
        <v>113795678000000</v>
      </c>
      <c r="E32" s="3">
        <v>1.061880995E-2</v>
      </c>
      <c r="F32" s="2">
        <v>8231613070</v>
      </c>
      <c r="G32" s="3">
        <v>8.5323121809999999E-3</v>
      </c>
      <c r="H32" s="4">
        <v>3839000000000</v>
      </c>
      <c r="I32" s="3">
        <v>4.1499074570000002E-2</v>
      </c>
      <c r="J32" s="2">
        <v>68300000</v>
      </c>
      <c r="K32" s="3">
        <v>-1.337647705E-2</v>
      </c>
      <c r="L32" s="3">
        <v>3.3735903400000003E-2</v>
      </c>
      <c r="M32" s="4">
        <v>959400000000</v>
      </c>
      <c r="N32" s="4">
        <v>928900000000</v>
      </c>
      <c r="O32" s="4">
        <v>-30500000000</v>
      </c>
      <c r="P32" s="3">
        <v>-7.9447772859999998E-3</v>
      </c>
      <c r="Q32" s="3">
        <v>0.96</v>
      </c>
      <c r="R32" s="3">
        <v>1.6949152540000002E-2</v>
      </c>
      <c r="S32" s="4">
        <v>3685440000000</v>
      </c>
      <c r="T32" s="3">
        <v>4.2500000000000003E-2</v>
      </c>
      <c r="U32" s="4">
        <v>156631200000</v>
      </c>
      <c r="V32" s="3">
        <v>4.0800000000000003E-2</v>
      </c>
      <c r="W32" s="3">
        <v>3.4000000000000002E-2</v>
      </c>
      <c r="X32" s="4">
        <v>56207.906300000002</v>
      </c>
      <c r="Y32" s="4">
        <v>54296.837480000002</v>
      </c>
      <c r="Z32" s="6">
        <v>0.94599999999999995</v>
      </c>
      <c r="AA32" s="3">
        <v>-2.109704641E-3</v>
      </c>
      <c r="AB32" s="6">
        <v>0.35399999999999998</v>
      </c>
      <c r="AC32" s="3">
        <v>7.062146893E-2</v>
      </c>
      <c r="AD32" s="6">
        <v>0.59199999999999997</v>
      </c>
      <c r="AE32" s="3">
        <v>0.18</v>
      </c>
      <c r="AF32" s="3">
        <v>0.111</v>
      </c>
      <c r="AG32" s="3">
        <v>7.0000000000000007E-2</v>
      </c>
      <c r="AH32" s="3">
        <v>4.1000000000000002E-2</v>
      </c>
      <c r="AI32" s="3">
        <v>0.40200000000000002</v>
      </c>
      <c r="AJ32" s="6">
        <v>0.38699112610000003</v>
      </c>
      <c r="AK32" s="4">
        <v>32143.727790000001</v>
      </c>
      <c r="AL32" t="s">
        <v>52</v>
      </c>
      <c r="AM32" t="s">
        <v>74</v>
      </c>
      <c r="AN32" t="str">
        <f t="shared" si="1"/>
        <v>Satisfactory Economic Resilience with Very Good Affordability.</v>
      </c>
      <c r="AO32" t="s">
        <v>309</v>
      </c>
      <c r="AP32" t="s">
        <v>40</v>
      </c>
    </row>
    <row r="33" spans="1:42" x14ac:dyDescent="0.4">
      <c r="A33" t="str">
        <f t="shared" si="0"/>
        <v>UNITED KINGDOM|2026</v>
      </c>
      <c r="B33" s="1" t="s">
        <v>303</v>
      </c>
      <c r="C33" s="1">
        <v>2026</v>
      </c>
      <c r="D33" s="4">
        <v>120063810405112</v>
      </c>
      <c r="E33" s="3">
        <v>5.5082341569999999E-2</v>
      </c>
      <c r="F33" s="2">
        <v>8302201675</v>
      </c>
      <c r="G33" s="3">
        <v>8.575306441E-3</v>
      </c>
      <c r="H33" s="4">
        <v>4015031459899</v>
      </c>
      <c r="I33" s="3">
        <v>4.5853467019999997E-2</v>
      </c>
      <c r="J33" s="2">
        <v>68968137.420000002</v>
      </c>
      <c r="K33" s="3">
        <v>9.7823926820000007E-3</v>
      </c>
      <c r="L33" s="3">
        <v>3.3440813229999998E-2</v>
      </c>
      <c r="M33" s="4">
        <v>1029900000000</v>
      </c>
      <c r="N33" s="4">
        <v>993900000000</v>
      </c>
      <c r="O33" s="4">
        <v>-36000000000</v>
      </c>
      <c r="P33" s="3">
        <v>-8.9663058329999996E-3</v>
      </c>
      <c r="Q33" s="3">
        <v>0.99877450109999999</v>
      </c>
      <c r="R33" s="3">
        <v>4.0390105269999997E-2</v>
      </c>
      <c r="S33" s="4">
        <v>4010111043094</v>
      </c>
      <c r="T33" s="3">
        <v>5.771428571E-2</v>
      </c>
      <c r="U33" s="4">
        <v>231440694487</v>
      </c>
      <c r="V33" s="3">
        <v>5.7643556919999998E-2</v>
      </c>
      <c r="W33" s="3">
        <v>5.8000000000000003E-2</v>
      </c>
      <c r="X33" s="4">
        <v>58215.744400000003</v>
      </c>
      <c r="Y33" s="4">
        <v>54839.231229999998</v>
      </c>
      <c r="Z33" s="6">
        <v>0.95365792589999998</v>
      </c>
      <c r="AA33" s="3">
        <v>8.0950590620000006E-3</v>
      </c>
      <c r="AB33" s="6">
        <v>0.34389298419999997</v>
      </c>
      <c r="AC33" s="3">
        <v>-2.939000302E-2</v>
      </c>
      <c r="AD33" s="6">
        <v>0.60976494169999995</v>
      </c>
      <c r="AE33" s="3">
        <v>0.185025</v>
      </c>
      <c r="AF33" s="3">
        <v>0.116025</v>
      </c>
      <c r="AG33" s="3">
        <v>7.5024999999999994E-2</v>
      </c>
      <c r="AH33" s="3">
        <v>4.6025000000000003E-2</v>
      </c>
      <c r="AI33" s="3">
        <v>0.42209999999999998</v>
      </c>
      <c r="AJ33" s="6">
        <v>0.38893095049999998</v>
      </c>
      <c r="AK33" s="4">
        <v>33439.040630000003</v>
      </c>
      <c r="AL33" t="s">
        <v>52</v>
      </c>
      <c r="AM33" t="s">
        <v>74</v>
      </c>
      <c r="AN33" t="str">
        <f t="shared" si="1"/>
        <v>Satisfactory Economic Resilience with Very Good Affordability.</v>
      </c>
      <c r="AP33" t="s">
        <v>40</v>
      </c>
    </row>
    <row r="34" spans="1:42" x14ac:dyDescent="0.4">
      <c r="A34" t="str">
        <f t="shared" si="0"/>
        <v>UNITED KINGDOM|2027</v>
      </c>
      <c r="B34" s="1" t="s">
        <v>303</v>
      </c>
      <c r="C34" s="1">
        <v>2027</v>
      </c>
      <c r="D34" s="4">
        <v>125735541889780</v>
      </c>
      <c r="E34" s="3">
        <v>4.7239309379999997E-2</v>
      </c>
      <c r="F34" s="2">
        <v>8372937901</v>
      </c>
      <c r="G34" s="3">
        <v>8.5201768609999996E-3</v>
      </c>
      <c r="H34" s="4">
        <v>4201345719753</v>
      </c>
      <c r="I34" s="3">
        <v>4.6404184299999998E-2</v>
      </c>
      <c r="J34" s="2">
        <v>69440404.489999995</v>
      </c>
      <c r="K34" s="3">
        <v>6.847612288E-3</v>
      </c>
      <c r="L34" s="3">
        <v>3.3414145729999997E-2</v>
      </c>
      <c r="M34" s="4">
        <v>1082332142857</v>
      </c>
      <c r="N34" s="4">
        <v>1041853571429</v>
      </c>
      <c r="O34" s="4">
        <v>-40478571429</v>
      </c>
      <c r="P34" s="3">
        <v>-9.6346680630000001E-3</v>
      </c>
      <c r="Q34" s="3">
        <v>1.029458035</v>
      </c>
      <c r="R34" s="3">
        <v>3.0721182440000001E-2</v>
      </c>
      <c r="S34" s="4">
        <v>4325109107856</v>
      </c>
      <c r="T34" s="3">
        <v>6.6482142859999996E-2</v>
      </c>
      <c r="U34" s="4">
        <v>287542521581</v>
      </c>
      <c r="V34" s="3">
        <v>6.844057613E-2</v>
      </c>
      <c r="W34" s="3">
        <v>6.3E-2</v>
      </c>
      <c r="X34" s="4">
        <v>60502.898150000001</v>
      </c>
      <c r="Y34" s="4">
        <v>56691.215559999997</v>
      </c>
      <c r="Z34" s="6">
        <v>0.95950692520000003</v>
      </c>
      <c r="AA34" s="3">
        <v>6.1332257660000004E-3</v>
      </c>
      <c r="AB34" s="6">
        <v>0.33897217340000002</v>
      </c>
      <c r="AC34" s="3">
        <v>-1.451685766E-2</v>
      </c>
      <c r="AD34" s="6">
        <v>0.62053475189999996</v>
      </c>
      <c r="AE34" s="3">
        <v>0.19030125000000001</v>
      </c>
      <c r="AF34" s="3">
        <v>0.12130125</v>
      </c>
      <c r="AG34" s="3">
        <v>8.0301250000000005E-2</v>
      </c>
      <c r="AH34" s="3">
        <v>5.130125E-2</v>
      </c>
      <c r="AI34" s="3">
        <v>0.44320500000000002</v>
      </c>
      <c r="AJ34" s="6">
        <v>0.39854390150000002</v>
      </c>
      <c r="AK34" s="4">
        <v>35178.869379999996</v>
      </c>
      <c r="AL34" t="s">
        <v>55</v>
      </c>
      <c r="AM34" t="s">
        <v>75</v>
      </c>
      <c r="AN34" t="str">
        <f t="shared" si="1"/>
        <v>Satisfactory Economic Resilience with High Affordability.</v>
      </c>
      <c r="AP34" t="s">
        <v>40</v>
      </c>
    </row>
    <row r="35" spans="1:42" x14ac:dyDescent="0.4">
      <c r="A35" t="str">
        <f t="shared" si="0"/>
        <v>UNITED KINGDOM|2028</v>
      </c>
      <c r="B35" s="1" t="s">
        <v>303</v>
      </c>
      <c r="C35" s="1">
        <v>2028</v>
      </c>
      <c r="D35" s="4">
        <v>131237442252096</v>
      </c>
      <c r="E35" s="3">
        <v>4.375771782E-2</v>
      </c>
      <c r="F35" s="2">
        <v>8443822776</v>
      </c>
      <c r="G35" s="3">
        <v>8.465950178E-3</v>
      </c>
      <c r="H35" s="4">
        <v>4392794551938</v>
      </c>
      <c r="I35" s="3">
        <v>4.5568454719999998E-2</v>
      </c>
      <c r="J35" s="2">
        <v>69846120.239999995</v>
      </c>
      <c r="K35" s="3">
        <v>5.8426467540000004E-3</v>
      </c>
      <c r="L35" s="3">
        <v>3.3472113419999998E-2</v>
      </c>
      <c r="M35" s="4">
        <v>1134764285714</v>
      </c>
      <c r="N35" s="4">
        <v>1089807142857</v>
      </c>
      <c r="O35" s="4">
        <v>-44957142857</v>
      </c>
      <c r="P35" s="3">
        <v>-1.023429216E-2</v>
      </c>
      <c r="Q35" s="3">
        <v>1.0574551109999999</v>
      </c>
      <c r="R35" s="3">
        <v>2.7195937100000001E-2</v>
      </c>
      <c r="S35" s="4">
        <v>4645183049143</v>
      </c>
      <c r="T35" s="3">
        <v>7.5249999999999997E-2</v>
      </c>
      <c r="U35" s="4">
        <v>349550024448</v>
      </c>
      <c r="V35" s="3">
        <v>7.957349708E-2</v>
      </c>
      <c r="W35" s="3">
        <v>6.8000000000000005E-2</v>
      </c>
      <c r="X35" s="4">
        <v>62892.46327</v>
      </c>
      <c r="Y35" s="4">
        <v>58615.77577</v>
      </c>
      <c r="Z35" s="6">
        <v>0.96474238560000003</v>
      </c>
      <c r="AA35" s="3">
        <v>5.4564070150000003E-3</v>
      </c>
      <c r="AB35" s="6">
        <v>0.33582092559999999</v>
      </c>
      <c r="AC35" s="3">
        <v>-9.3837146419999996E-3</v>
      </c>
      <c r="AD35" s="6">
        <v>0.62892145990000003</v>
      </c>
      <c r="AE35" s="3">
        <v>0.1958413125</v>
      </c>
      <c r="AF35" s="3">
        <v>0.1268413125</v>
      </c>
      <c r="AG35" s="3">
        <v>8.5841312500000003E-2</v>
      </c>
      <c r="AH35" s="3">
        <v>5.6841312499999998E-2</v>
      </c>
      <c r="AI35" s="3">
        <v>0.46536525000000001</v>
      </c>
      <c r="AJ35" s="6">
        <v>0.40902957420000002</v>
      </c>
      <c r="AK35" s="4">
        <v>36864.719270000001</v>
      </c>
      <c r="AL35" t="s">
        <v>55</v>
      </c>
      <c r="AM35" t="s">
        <v>76</v>
      </c>
      <c r="AN35" t="str">
        <f t="shared" si="1"/>
        <v>Satisfactory Economic Resilience with High Affordability.</v>
      </c>
      <c r="AP35" t="s">
        <v>40</v>
      </c>
    </row>
    <row r="36" spans="1:42" x14ac:dyDescent="0.4">
      <c r="A36" t="str">
        <f t="shared" si="0"/>
        <v>UNITED KINGDOM|2029</v>
      </c>
      <c r="B36" s="1" t="s">
        <v>303</v>
      </c>
      <c r="C36" s="1">
        <v>2029</v>
      </c>
      <c r="D36" s="4">
        <v>136712479650225</v>
      </c>
      <c r="E36" s="3">
        <v>4.1718562200000003E-2</v>
      </c>
      <c r="F36" s="2">
        <v>8514849364</v>
      </c>
      <c r="G36" s="3">
        <v>8.4116624760000001E-3</v>
      </c>
      <c r="H36" s="4">
        <v>4587498480202</v>
      </c>
      <c r="I36" s="3">
        <v>4.4323476989999999E-2</v>
      </c>
      <c r="J36" s="2">
        <v>70228369.560000002</v>
      </c>
      <c r="K36" s="3">
        <v>5.4727352509999997E-3</v>
      </c>
      <c r="L36" s="3">
        <v>3.3555813570000002E-2</v>
      </c>
      <c r="M36" s="4">
        <v>1187196428571</v>
      </c>
      <c r="N36" s="4">
        <v>1137760714286</v>
      </c>
      <c r="O36" s="4">
        <v>-49435714286</v>
      </c>
      <c r="P36" s="3">
        <v>-1.077618107E-2</v>
      </c>
      <c r="Q36" s="3">
        <v>1.0845907290000001</v>
      </c>
      <c r="R36" s="3">
        <v>2.5661247979999999E-2</v>
      </c>
      <c r="S36" s="4">
        <v>4975558318685</v>
      </c>
      <c r="T36" s="3">
        <v>8.4017857139999999E-2</v>
      </c>
      <c r="U36" s="4">
        <v>418035748025</v>
      </c>
      <c r="V36" s="3">
        <v>9.1124988889999994E-2</v>
      </c>
      <c r="W36" s="3">
        <v>7.2999999999999995E-2</v>
      </c>
      <c r="X36" s="4">
        <v>65322.582719999999</v>
      </c>
      <c r="Y36" s="4">
        <v>60554.034180000002</v>
      </c>
      <c r="Z36" s="6">
        <v>0.96976259929999997</v>
      </c>
      <c r="AA36" s="3">
        <v>5.2036832319999997E-3</v>
      </c>
      <c r="AB36" s="6">
        <v>0.33329911150000002</v>
      </c>
      <c r="AC36" s="3">
        <v>-7.5662193220000003E-3</v>
      </c>
      <c r="AD36" s="6">
        <v>0.63646348789999996</v>
      </c>
      <c r="AE36" s="3">
        <v>0.20165837810000001</v>
      </c>
      <c r="AF36" s="3">
        <v>0.1326583781</v>
      </c>
      <c r="AG36" s="3">
        <v>9.1658378129999996E-2</v>
      </c>
      <c r="AH36" s="3">
        <v>6.2658378129999998E-2</v>
      </c>
      <c r="AI36" s="3">
        <v>0.48863351249999998</v>
      </c>
      <c r="AJ36" s="6">
        <v>0.42028815609999998</v>
      </c>
      <c r="AK36" s="4">
        <v>38540.431799999998</v>
      </c>
      <c r="AL36" t="s">
        <v>55</v>
      </c>
      <c r="AM36" t="s">
        <v>77</v>
      </c>
      <c r="AN36" t="str">
        <f t="shared" si="1"/>
        <v>Good Economic Resilience with High Affordability.</v>
      </c>
      <c r="AP36" t="s">
        <v>40</v>
      </c>
    </row>
    <row r="37" spans="1:42" x14ac:dyDescent="0.4">
      <c r="A37" t="str">
        <f t="shared" si="0"/>
        <v>UNITED KINGDOM|2030</v>
      </c>
      <c r="B37" s="1" t="s">
        <v>303</v>
      </c>
      <c r="C37" s="1">
        <v>2030</v>
      </c>
      <c r="D37" s="4">
        <v>141834754671550</v>
      </c>
      <c r="E37" s="3"/>
      <c r="F37" s="2">
        <v>8586617399</v>
      </c>
      <c r="G37" s="3"/>
      <c r="H37" s="4">
        <v>4781569921881</v>
      </c>
      <c r="I37" s="3"/>
      <c r="J37" s="2">
        <v>70606568.870000005</v>
      </c>
      <c r="K37" s="3"/>
      <c r="L37" s="3">
        <v>3.371225856E-2</v>
      </c>
      <c r="M37" s="4">
        <v>1239628571429</v>
      </c>
      <c r="N37" s="4">
        <v>1185714285714</v>
      </c>
      <c r="O37" s="4">
        <v>-53914285714</v>
      </c>
      <c r="P37" s="3">
        <v>-1.127543602E-2</v>
      </c>
      <c r="Q37" s="3">
        <v>1.1115064699999999</v>
      </c>
      <c r="R37" s="3"/>
      <c r="S37" s="4">
        <v>5314745903260</v>
      </c>
      <c r="T37" s="3">
        <v>9.2785714290000001E-2</v>
      </c>
      <c r="U37" s="4">
        <v>493132494881</v>
      </c>
      <c r="V37" s="3">
        <v>0.1031319217</v>
      </c>
      <c r="W37" s="3">
        <v>7.8E-2</v>
      </c>
      <c r="X37" s="4">
        <v>67721.31826</v>
      </c>
      <c r="Y37" s="4">
        <v>62439.055439999996</v>
      </c>
      <c r="Z37" s="6">
        <v>0.97470663609999997</v>
      </c>
      <c r="AA37" s="3"/>
      <c r="AB37" s="6">
        <v>0.33101003750000002</v>
      </c>
      <c r="AC37" s="3"/>
      <c r="AD37" s="6">
        <v>0.64369659850000005</v>
      </c>
      <c r="AE37" s="3">
        <v>0.20776629699999999</v>
      </c>
      <c r="AF37" s="3">
        <v>0.13876629700000001</v>
      </c>
      <c r="AG37" s="3">
        <v>9.7766297030000004E-2</v>
      </c>
      <c r="AH37" s="3">
        <v>6.8766297030000006E-2</v>
      </c>
      <c r="AI37" s="3">
        <v>0.51306518810000001</v>
      </c>
      <c r="AJ37" s="6">
        <v>0.4323700889</v>
      </c>
      <c r="AK37" s="4">
        <v>40191.8076</v>
      </c>
      <c r="AL37" t="s">
        <v>58</v>
      </c>
      <c r="AM37" t="s">
        <v>78</v>
      </c>
      <c r="AN37" t="str">
        <f t="shared" si="1"/>
        <v>Good Economic Resilience with Excellent Affordability.</v>
      </c>
      <c r="AP37" t="s">
        <v>40</v>
      </c>
    </row>
    <row r="38" spans="1:42" x14ac:dyDescent="0.4">
      <c r="A38" t="str">
        <f t="shared" si="0"/>
        <v>JAPAN|2019</v>
      </c>
      <c r="B38" s="1" t="s">
        <v>80</v>
      </c>
      <c r="C38" s="1">
        <v>2019</v>
      </c>
      <c r="D38" s="4">
        <v>87700000000000</v>
      </c>
      <c r="E38" s="3"/>
      <c r="F38" s="2">
        <v>7810000000</v>
      </c>
      <c r="G38" s="3"/>
      <c r="H38" s="4">
        <v>5120000000000</v>
      </c>
      <c r="I38" s="3"/>
      <c r="J38" s="2">
        <v>126633000</v>
      </c>
      <c r="K38" s="3"/>
      <c r="L38" s="3">
        <v>5.8380843789999998E-2</v>
      </c>
      <c r="M38" s="4">
        <v>908590000000</v>
      </c>
      <c r="N38" s="4">
        <v>893780000000</v>
      </c>
      <c r="O38" s="4">
        <v>-14810000000</v>
      </c>
      <c r="P38" s="3">
        <v>-2.8925781250000002E-3</v>
      </c>
      <c r="Q38" s="3">
        <v>1.9745999999999999</v>
      </c>
      <c r="R38" s="3"/>
      <c r="S38" s="4">
        <v>10109952000000</v>
      </c>
      <c r="T38" s="3">
        <v>-1E-3</v>
      </c>
      <c r="U38" s="4">
        <v>-10109952000</v>
      </c>
      <c r="V38" s="3">
        <v>-1.9746E-3</v>
      </c>
      <c r="W38" s="3">
        <v>5.0000000000000001E-3</v>
      </c>
      <c r="X38" s="4">
        <v>40431.79898</v>
      </c>
      <c r="Y38" s="4">
        <v>40229.63998</v>
      </c>
      <c r="Z38" s="6">
        <v>0.91800000000000004</v>
      </c>
      <c r="AA38" s="3"/>
      <c r="AB38" s="6">
        <v>0.33</v>
      </c>
      <c r="AC38" s="3"/>
      <c r="AD38" s="6">
        <v>0.58799999999999997</v>
      </c>
      <c r="AE38" s="3">
        <v>8.4436367449999994E-2</v>
      </c>
      <c r="AF38" s="3">
        <v>9.4436367450000003E-2</v>
      </c>
      <c r="AG38" s="3">
        <v>7.7436367450000002E-2</v>
      </c>
      <c r="AH38" s="3">
        <v>2.7436367449999999E-2</v>
      </c>
      <c r="AI38" s="3">
        <v>0.28374546979999998</v>
      </c>
      <c r="AJ38" s="6">
        <v>0.34120833540000001</v>
      </c>
      <c r="AK38" s="4">
        <v>23655.028310000002</v>
      </c>
      <c r="AL38" t="s">
        <v>67</v>
      </c>
      <c r="AM38" t="s">
        <v>79</v>
      </c>
      <c r="AN38" t="str">
        <f t="shared" si="1"/>
        <v>Satisfactory Economic Resilience with Satisfactory Affordability.</v>
      </c>
      <c r="AP38" t="s">
        <v>40</v>
      </c>
    </row>
    <row r="39" spans="1:42" x14ac:dyDescent="0.4">
      <c r="A39" t="str">
        <f t="shared" si="0"/>
        <v>JAPAN|2020</v>
      </c>
      <c r="B39" s="1" t="s">
        <v>80</v>
      </c>
      <c r="C39" s="1">
        <v>2020</v>
      </c>
      <c r="D39" s="4">
        <v>84750000000000</v>
      </c>
      <c r="E39" s="3">
        <v>-3.3637400230000003E-2</v>
      </c>
      <c r="F39" s="2">
        <v>7890000000</v>
      </c>
      <c r="G39" s="3">
        <v>1.0243277849999999E-2</v>
      </c>
      <c r="H39" s="4">
        <v>5050000000000</v>
      </c>
      <c r="I39" s="3">
        <v>-1.3671875E-2</v>
      </c>
      <c r="J39" s="2">
        <v>126261000</v>
      </c>
      <c r="K39" s="3">
        <v>-2.9376228949999999E-3</v>
      </c>
      <c r="L39" s="3">
        <v>5.9587020650000003E-2</v>
      </c>
      <c r="M39" s="4">
        <v>798650000000</v>
      </c>
      <c r="N39" s="4">
        <v>785060000000</v>
      </c>
      <c r="O39" s="4">
        <v>-13590000000</v>
      </c>
      <c r="P39" s="3">
        <v>-2.6910891089999998E-3</v>
      </c>
      <c r="Q39" s="3">
        <v>2.0556000000000001</v>
      </c>
      <c r="R39" s="3">
        <v>4.1020966270000001E-2</v>
      </c>
      <c r="S39" s="4">
        <v>10380780000000</v>
      </c>
      <c r="T39" s="3">
        <v>-1E-3</v>
      </c>
      <c r="U39" s="4">
        <v>-10380780000</v>
      </c>
      <c r="V39" s="3">
        <v>-2.0555999999999999E-3</v>
      </c>
      <c r="W39" s="3">
        <v>1.5E-3</v>
      </c>
      <c r="X39" s="4">
        <v>39996.515160000003</v>
      </c>
      <c r="Y39" s="4">
        <v>39936.520380000002</v>
      </c>
      <c r="Z39" s="6">
        <v>0.91700000000000004</v>
      </c>
      <c r="AA39" s="3">
        <v>-1.0893246189999999E-3</v>
      </c>
      <c r="AB39" s="6">
        <v>0.32300000000000001</v>
      </c>
      <c r="AC39" s="3">
        <v>-2.1671826629999998E-2</v>
      </c>
      <c r="AD39" s="6">
        <v>0.59399999999999997</v>
      </c>
      <c r="AE39" s="3">
        <v>8.816986047E-2</v>
      </c>
      <c r="AF39" s="3">
        <v>9.8169860469999995E-2</v>
      </c>
      <c r="AG39" s="3">
        <v>8.1169860469999994E-2</v>
      </c>
      <c r="AH39" s="3">
        <v>3.1169860470000001E-2</v>
      </c>
      <c r="AI39" s="3">
        <v>0.29867944190000001</v>
      </c>
      <c r="AJ39" s="6">
        <v>0.3576309734</v>
      </c>
      <c r="AK39" s="4">
        <v>23722.293109999999</v>
      </c>
      <c r="AL39" t="s">
        <v>67</v>
      </c>
      <c r="AM39" t="s">
        <v>81</v>
      </c>
      <c r="AN39" t="str">
        <f t="shared" si="1"/>
        <v>Satisfactory Economic Resilience with Satisfactory Affordability.</v>
      </c>
      <c r="AP39" t="s">
        <v>40</v>
      </c>
    </row>
    <row r="40" spans="1:42" x14ac:dyDescent="0.4">
      <c r="A40" t="str">
        <f t="shared" si="0"/>
        <v>JAPAN|2021</v>
      </c>
      <c r="B40" s="1" t="s">
        <v>80</v>
      </c>
      <c r="C40" s="1">
        <v>2021</v>
      </c>
      <c r="D40" s="4">
        <v>96140000000000</v>
      </c>
      <c r="E40" s="3">
        <v>0.13439528019999999</v>
      </c>
      <c r="F40" s="2">
        <v>7950000000</v>
      </c>
      <c r="G40" s="3">
        <v>7.6045627380000001E-3</v>
      </c>
      <c r="H40" s="4">
        <v>5040000000000</v>
      </c>
      <c r="I40" s="3">
        <v>-1.9801980200000002E-3</v>
      </c>
      <c r="J40" s="2">
        <v>125681593</v>
      </c>
      <c r="K40" s="3">
        <v>-4.5889625459999998E-3</v>
      </c>
      <c r="L40" s="3">
        <v>5.2423548989999999E-2</v>
      </c>
      <c r="M40" s="4">
        <v>938760000000</v>
      </c>
      <c r="N40" s="4">
        <v>912550000000</v>
      </c>
      <c r="O40" s="4">
        <v>-26210000000</v>
      </c>
      <c r="P40" s="3">
        <v>-5.2003968250000001E-3</v>
      </c>
      <c r="Q40" s="3">
        <v>2.1413000000000002</v>
      </c>
      <c r="R40" s="3">
        <v>4.1690990470000001E-2</v>
      </c>
      <c r="S40" s="4">
        <v>10792152000000</v>
      </c>
      <c r="T40" s="3">
        <v>-1E-3</v>
      </c>
      <c r="U40" s="4">
        <v>-10792152000</v>
      </c>
      <c r="V40" s="3">
        <v>-2.1413000000000001E-3</v>
      </c>
      <c r="W40" s="3">
        <v>-2E-3</v>
      </c>
      <c r="X40" s="4">
        <v>40101.337670000001</v>
      </c>
      <c r="Y40" s="4">
        <v>40181.540350000003</v>
      </c>
      <c r="Z40" s="6">
        <v>0.92</v>
      </c>
      <c r="AA40" s="3">
        <v>3.2715376229999998E-3</v>
      </c>
      <c r="AB40" s="6">
        <v>0.3075</v>
      </c>
      <c r="AC40" s="3">
        <v>-5.0406504069999997E-2</v>
      </c>
      <c r="AD40" s="6">
        <v>0.61250000000000004</v>
      </c>
      <c r="AE40" s="3">
        <v>9.2099853130000006E-2</v>
      </c>
      <c r="AF40" s="3">
        <v>0.1020998531</v>
      </c>
      <c r="AG40" s="3">
        <v>8.509985313E-2</v>
      </c>
      <c r="AH40" s="3">
        <v>3.5099853129999997E-2</v>
      </c>
      <c r="AI40" s="3">
        <v>0.31439941249999998</v>
      </c>
      <c r="AJ40" s="6">
        <v>0.36376386469999999</v>
      </c>
      <c r="AK40" s="4">
        <v>24611.193459999999</v>
      </c>
      <c r="AL40" t="s">
        <v>67</v>
      </c>
      <c r="AM40" t="s">
        <v>81</v>
      </c>
      <c r="AN40" t="str">
        <f t="shared" si="1"/>
        <v>Satisfactory Economic Resilience with Satisfactory Affordability.</v>
      </c>
      <c r="AP40" t="s">
        <v>40</v>
      </c>
    </row>
    <row r="41" spans="1:42" x14ac:dyDescent="0.4">
      <c r="A41" t="str">
        <f t="shared" si="0"/>
        <v>JAPAN|2022</v>
      </c>
      <c r="B41" s="1" t="s">
        <v>80</v>
      </c>
      <c r="C41" s="1">
        <v>2022</v>
      </c>
      <c r="D41" s="4">
        <v>101560000000000</v>
      </c>
      <c r="E41" s="3">
        <v>5.6376118160000002E-2</v>
      </c>
      <c r="F41" s="2">
        <v>8020000000</v>
      </c>
      <c r="G41" s="3">
        <v>8.8050314469999991E-3</v>
      </c>
      <c r="H41" s="4">
        <v>4260000000000</v>
      </c>
      <c r="I41" s="3">
        <v>-0.15476190479999999</v>
      </c>
      <c r="J41" s="2">
        <v>125124989</v>
      </c>
      <c r="K41" s="3">
        <v>-4.4286835219999997E-3</v>
      </c>
      <c r="L41" s="3">
        <v>4.194564789E-2</v>
      </c>
      <c r="M41" s="4">
        <v>1077000000000</v>
      </c>
      <c r="N41" s="4">
        <v>918410000000</v>
      </c>
      <c r="O41" s="4">
        <v>-158590000000</v>
      </c>
      <c r="P41" s="3">
        <v>-3.7227699529999998E-2</v>
      </c>
      <c r="Q41" s="3">
        <v>2.1476999999999999</v>
      </c>
      <c r="R41" s="3">
        <v>2.9888385560000001E-3</v>
      </c>
      <c r="S41" s="4">
        <v>9149202000000</v>
      </c>
      <c r="T41" s="3">
        <v>-1E-3</v>
      </c>
      <c r="U41" s="4">
        <v>-9149202000</v>
      </c>
      <c r="V41" s="3">
        <v>-2.1477000000000002E-3</v>
      </c>
      <c r="W41" s="3">
        <v>2.5000000000000001E-2</v>
      </c>
      <c r="X41" s="4">
        <v>34045.957040000001</v>
      </c>
      <c r="Y41" s="4">
        <v>33194.808109999998</v>
      </c>
      <c r="Z41" s="6">
        <v>0.92</v>
      </c>
      <c r="AA41" s="3">
        <v>0</v>
      </c>
      <c r="AB41" s="6">
        <v>0.29975000000000002</v>
      </c>
      <c r="AC41" s="3">
        <v>-2.585487907E-2</v>
      </c>
      <c r="AD41" s="6">
        <v>0.62024999999999997</v>
      </c>
      <c r="AE41" s="3">
        <v>9.6236687500000001E-2</v>
      </c>
      <c r="AF41" s="3">
        <v>0.1062366875</v>
      </c>
      <c r="AG41" s="3">
        <v>8.9236687499999995E-2</v>
      </c>
      <c r="AH41" s="3">
        <v>3.9236687499999999E-2</v>
      </c>
      <c r="AI41" s="3">
        <v>0.33094675000000001</v>
      </c>
      <c r="AJ41" s="6">
        <v>0.33781239839999999</v>
      </c>
      <c r="AK41" s="4">
        <v>20589.079730000001</v>
      </c>
      <c r="AL41" t="s">
        <v>67</v>
      </c>
      <c r="AM41" t="s">
        <v>79</v>
      </c>
      <c r="AN41" t="str">
        <f t="shared" si="1"/>
        <v>Satisfactory Economic Resilience with Satisfactory Affordability.</v>
      </c>
      <c r="AP41" t="s">
        <v>40</v>
      </c>
    </row>
    <row r="42" spans="1:42" x14ac:dyDescent="0.4">
      <c r="A42" t="str">
        <f t="shared" si="0"/>
        <v>JAPAN|2023</v>
      </c>
      <c r="B42" s="1" t="s">
        <v>80</v>
      </c>
      <c r="C42" s="1">
        <v>2023</v>
      </c>
      <c r="D42" s="4">
        <v>106800000000000</v>
      </c>
      <c r="E42" s="3">
        <v>5.1595116189999998E-2</v>
      </c>
      <c r="F42" s="2">
        <v>8090000000</v>
      </c>
      <c r="G42" s="3">
        <v>8.7281795509999999E-3</v>
      </c>
      <c r="H42" s="4">
        <v>4210000000000</v>
      </c>
      <c r="I42" s="3">
        <v>-1.17370892E-2</v>
      </c>
      <c r="J42" s="2">
        <v>124516650</v>
      </c>
      <c r="K42" s="3">
        <v>-4.8618505769999999E-3</v>
      </c>
      <c r="L42" s="3">
        <v>3.9419475660000002E-2</v>
      </c>
      <c r="M42" s="4">
        <v>981840000000</v>
      </c>
      <c r="N42" s="4">
        <v>920640000000</v>
      </c>
      <c r="O42" s="4">
        <v>-61200000000</v>
      </c>
      <c r="P42" s="3">
        <v>-1.45368171E-2</v>
      </c>
      <c r="Q42" s="3">
        <v>2.0565000000000002</v>
      </c>
      <c r="R42" s="3">
        <v>-4.2464031290000002E-2</v>
      </c>
      <c r="S42" s="4">
        <v>8657865000000</v>
      </c>
      <c r="T42" s="3">
        <v>-1E-3</v>
      </c>
      <c r="U42" s="4">
        <v>-8657865000</v>
      </c>
      <c r="V42" s="3">
        <v>-2.0565000000000002E-3</v>
      </c>
      <c r="W42" s="3">
        <v>3.3000000000000002E-2</v>
      </c>
      <c r="X42" s="4">
        <v>33810.739370000003</v>
      </c>
      <c r="Y42" s="4">
        <v>32694.984970000001</v>
      </c>
      <c r="Z42" s="6">
        <v>0.93</v>
      </c>
      <c r="AA42" s="3">
        <v>1.086956522E-2</v>
      </c>
      <c r="AB42" s="6">
        <v>0.295875</v>
      </c>
      <c r="AC42" s="3">
        <v>-1.3096746940000001E-2</v>
      </c>
      <c r="AD42" s="6">
        <v>0.63412500000000005</v>
      </c>
      <c r="AE42" s="3">
        <v>0.10059124999999999</v>
      </c>
      <c r="AF42" s="3">
        <v>0.11059125</v>
      </c>
      <c r="AG42" s="3">
        <v>9.3591250000000001E-2</v>
      </c>
      <c r="AH42" s="3">
        <v>4.3591249999999998E-2</v>
      </c>
      <c r="AI42" s="3">
        <v>0.34836499999999998</v>
      </c>
      <c r="AJ42" s="6">
        <v>0.37530415859999999</v>
      </c>
      <c r="AK42" s="4">
        <v>20732.707340000001</v>
      </c>
      <c r="AL42" t="s">
        <v>67</v>
      </c>
      <c r="AM42" t="s">
        <v>82</v>
      </c>
      <c r="AN42" t="str">
        <f t="shared" si="1"/>
        <v>Satisfactory Economic Resilience with Satisfactory Affordability.</v>
      </c>
      <c r="AP42" t="s">
        <v>40</v>
      </c>
    </row>
    <row r="43" spans="1:42" x14ac:dyDescent="0.4">
      <c r="A43" t="str">
        <f t="shared" si="0"/>
        <v>JAPAN|2024</v>
      </c>
      <c r="B43" s="1" t="s">
        <v>80</v>
      </c>
      <c r="C43" s="1">
        <v>2024</v>
      </c>
      <c r="D43" s="4">
        <v>112600000000000</v>
      </c>
      <c r="E43" s="3">
        <v>5.4307116099999997E-2</v>
      </c>
      <c r="F43" s="2">
        <v>8161972572</v>
      </c>
      <c r="G43" s="3">
        <v>8.8964860320000002E-3</v>
      </c>
      <c r="H43" s="4">
        <v>4030000000000</v>
      </c>
      <c r="I43" s="3">
        <v>-4.2755344420000001E-2</v>
      </c>
      <c r="J43" s="2">
        <v>122631432</v>
      </c>
      <c r="K43" s="3">
        <v>-1.5140288470000001E-2</v>
      </c>
      <c r="L43" s="3">
        <v>3.5790408529999998E-2</v>
      </c>
      <c r="M43" s="4">
        <v>952040000000</v>
      </c>
      <c r="N43" s="4">
        <v>917040000000</v>
      </c>
      <c r="O43" s="4">
        <v>-35000000000</v>
      </c>
      <c r="P43" s="3">
        <v>-8.6848635240000006E-3</v>
      </c>
      <c r="Q43" s="3">
        <v>2.0093000000000001</v>
      </c>
      <c r="R43" s="3">
        <v>-2.295161682E-2</v>
      </c>
      <c r="S43" s="4">
        <v>8097479000000</v>
      </c>
      <c r="T43" s="3">
        <v>1E-3</v>
      </c>
      <c r="U43" s="4">
        <v>8097479000</v>
      </c>
      <c r="V43" s="3">
        <v>2.0092999999999999E-3</v>
      </c>
      <c r="W43" s="3">
        <v>2.7E-2</v>
      </c>
      <c r="X43" s="4">
        <v>32862.700320000004</v>
      </c>
      <c r="Y43" s="4">
        <v>31975.40741</v>
      </c>
      <c r="Z43" s="6">
        <v>0.9345</v>
      </c>
      <c r="AA43" s="3">
        <v>4.8387096770000004E-3</v>
      </c>
      <c r="AB43" s="6">
        <v>0.29393750000000002</v>
      </c>
      <c r="AC43" s="3">
        <v>-6.5915373169999998E-3</v>
      </c>
      <c r="AD43" s="6">
        <v>0.64056250000000003</v>
      </c>
      <c r="AE43" s="3">
        <v>0.105175</v>
      </c>
      <c r="AF43" s="3">
        <v>0.115175</v>
      </c>
      <c r="AG43" s="3">
        <v>9.8174999999999998E-2</v>
      </c>
      <c r="AH43" s="3">
        <v>4.8175000000000003E-2</v>
      </c>
      <c r="AI43" s="3">
        <v>0.36670000000000003</v>
      </c>
      <c r="AJ43" s="6">
        <v>0.39179624499999999</v>
      </c>
      <c r="AK43" s="4">
        <v>20482.246910000002</v>
      </c>
      <c r="AL43" t="s">
        <v>67</v>
      </c>
      <c r="AM43" t="s">
        <v>83</v>
      </c>
      <c r="AN43" t="str">
        <f t="shared" si="1"/>
        <v>Satisfactory Economic Resilience with Satisfactory Affordability.</v>
      </c>
      <c r="AP43" t="s">
        <v>40</v>
      </c>
    </row>
    <row r="44" spans="1:42" x14ac:dyDescent="0.4">
      <c r="A44" t="str">
        <f t="shared" si="0"/>
        <v>JAPAN|2025</v>
      </c>
      <c r="B44" s="1" t="s">
        <v>80</v>
      </c>
      <c r="C44" s="1">
        <v>2025</v>
      </c>
      <c r="D44" s="4">
        <v>113795678000000</v>
      </c>
      <c r="E44" s="3">
        <v>1.061880995E-2</v>
      </c>
      <c r="F44" s="2">
        <v>8231613070</v>
      </c>
      <c r="G44" s="3">
        <v>8.5323121809999999E-3</v>
      </c>
      <c r="H44" s="4">
        <v>4186000000000</v>
      </c>
      <c r="I44" s="3">
        <v>3.8709677419999998E-2</v>
      </c>
      <c r="J44" s="2">
        <v>123400000</v>
      </c>
      <c r="K44" s="3">
        <v>6.267300214E-3</v>
      </c>
      <c r="L44" s="3">
        <v>3.6785228349999997E-2</v>
      </c>
      <c r="M44" s="4">
        <v>1385000000000</v>
      </c>
      <c r="N44" s="4">
        <v>1377000000000</v>
      </c>
      <c r="O44" s="4">
        <v>-8000000000</v>
      </c>
      <c r="P44" s="3">
        <v>-1.911132346E-3</v>
      </c>
      <c r="Q44" s="3">
        <v>0.42</v>
      </c>
      <c r="R44" s="3">
        <v>-0.79097198030000004</v>
      </c>
      <c r="S44" s="4">
        <v>1758120000000</v>
      </c>
      <c r="T44" s="3">
        <v>2.75E-2</v>
      </c>
      <c r="U44" s="4">
        <v>48348300000</v>
      </c>
      <c r="V44" s="3">
        <v>1.155E-2</v>
      </c>
      <c r="W44" s="3">
        <v>1.7000000000000001E-2</v>
      </c>
      <c r="X44" s="4">
        <v>33922.204210000004</v>
      </c>
      <c r="Y44" s="4">
        <v>33345.526740000001</v>
      </c>
      <c r="Z44" s="6">
        <v>0.93899999999999995</v>
      </c>
      <c r="AA44" s="3">
        <v>4.8154093100000002E-3</v>
      </c>
      <c r="AB44" s="6">
        <v>0.29199999999999998</v>
      </c>
      <c r="AC44" s="3">
        <v>-6.6352739729999997E-3</v>
      </c>
      <c r="AD44" s="6">
        <v>0.64700000000000002</v>
      </c>
      <c r="AE44" s="3">
        <v>0.11</v>
      </c>
      <c r="AF44" s="3">
        <v>0.12</v>
      </c>
      <c r="AG44" s="3">
        <v>0.10299999999999999</v>
      </c>
      <c r="AH44" s="3">
        <v>5.2999999999999999E-2</v>
      </c>
      <c r="AI44" s="3">
        <v>0.38600000000000001</v>
      </c>
      <c r="AJ44" s="6">
        <v>0.40932409600000003</v>
      </c>
      <c r="AK44" s="4">
        <v>21574.555799999998</v>
      </c>
      <c r="AL44" t="s">
        <v>67</v>
      </c>
      <c r="AM44" t="s">
        <v>84</v>
      </c>
      <c r="AN44" t="str">
        <f t="shared" si="1"/>
        <v>Satisfactory Economic Resilience with Satisfactory Affordability.</v>
      </c>
      <c r="AO44" t="s">
        <v>310</v>
      </c>
      <c r="AP44" t="s">
        <v>40</v>
      </c>
    </row>
    <row r="45" spans="1:42" x14ac:dyDescent="0.4">
      <c r="A45" t="str">
        <f t="shared" si="0"/>
        <v>JAPAN|2026</v>
      </c>
      <c r="B45" s="1" t="s">
        <v>80</v>
      </c>
      <c r="C45" s="1">
        <v>2026</v>
      </c>
      <c r="D45" s="4">
        <v>120063810405112</v>
      </c>
      <c r="E45" s="3">
        <v>5.5082341569999999E-2</v>
      </c>
      <c r="F45" s="2">
        <v>8302201675</v>
      </c>
      <c r="G45" s="3">
        <v>8.575306441E-3</v>
      </c>
      <c r="H45" s="4">
        <v>3901191229772</v>
      </c>
      <c r="I45" s="3">
        <v>-6.8038406649999994E-2</v>
      </c>
      <c r="J45" s="2">
        <v>122587647.59999999</v>
      </c>
      <c r="K45" s="3">
        <v>-6.5830829969999996E-3</v>
      </c>
      <c r="L45" s="3">
        <v>3.2492648839999999E-2</v>
      </c>
      <c r="M45" s="4">
        <v>1260138571429</v>
      </c>
      <c r="N45" s="4">
        <v>1206598571429</v>
      </c>
      <c r="O45" s="4">
        <v>-53540000000</v>
      </c>
      <c r="P45" s="3">
        <v>-1.3724013219999999E-2</v>
      </c>
      <c r="Q45" s="3">
        <v>0.75186881800000005</v>
      </c>
      <c r="R45" s="3">
        <v>0.79016385229999997</v>
      </c>
      <c r="S45" s="4">
        <v>2933184038658</v>
      </c>
      <c r="T45" s="3">
        <v>1.6142857140000001E-2</v>
      </c>
      <c r="U45" s="4">
        <v>47349970910</v>
      </c>
      <c r="V45" s="3">
        <v>1.213731092E-2</v>
      </c>
      <c r="W45" s="3">
        <v>3.2642857140000002E-2</v>
      </c>
      <c r="X45" s="4">
        <v>31823.689480000001</v>
      </c>
      <c r="Y45" s="4">
        <v>30784.873329999999</v>
      </c>
      <c r="Z45" s="6">
        <v>0.9417410222</v>
      </c>
      <c r="AA45" s="3">
        <v>2.919086444E-3</v>
      </c>
      <c r="AB45" s="6">
        <v>0.28285588290000002</v>
      </c>
      <c r="AC45" s="3">
        <v>-3.2327830600000003E-2</v>
      </c>
      <c r="AD45" s="6">
        <v>0.65888513920000003</v>
      </c>
      <c r="AE45" s="3">
        <v>0.114825</v>
      </c>
      <c r="AF45" s="3">
        <v>0.12482500000000001</v>
      </c>
      <c r="AG45" s="3">
        <v>0.107825</v>
      </c>
      <c r="AH45" s="3">
        <v>5.7825000000000001E-2</v>
      </c>
      <c r="AI45" s="3">
        <v>0.40529999999999999</v>
      </c>
      <c r="AJ45" s="6">
        <v>0.41193132469999999</v>
      </c>
      <c r="AK45" s="4">
        <v>20283.69555</v>
      </c>
      <c r="AL45" t="s">
        <v>67</v>
      </c>
      <c r="AM45" t="s">
        <v>84</v>
      </c>
      <c r="AN45" t="str">
        <f t="shared" si="1"/>
        <v>Good Economic Resilience with Satisfactory Affordability.</v>
      </c>
      <c r="AP45" t="s">
        <v>40</v>
      </c>
    </row>
    <row r="46" spans="1:42" x14ac:dyDescent="0.4">
      <c r="A46" t="str">
        <f t="shared" si="0"/>
        <v>JAPAN|2027</v>
      </c>
      <c r="B46" s="1" t="s">
        <v>80</v>
      </c>
      <c r="C46" s="1">
        <v>2027</v>
      </c>
      <c r="D46" s="4">
        <v>125735541889780</v>
      </c>
      <c r="E46" s="3">
        <v>4.7239309379999997E-2</v>
      </c>
      <c r="F46" s="2">
        <v>8372937901</v>
      </c>
      <c r="G46" s="3">
        <v>8.5201768609999996E-3</v>
      </c>
      <c r="H46" s="4">
        <v>3690334857977</v>
      </c>
      <c r="I46" s="3">
        <v>-5.4049227370000001E-2</v>
      </c>
      <c r="J46" s="2">
        <v>121910430.5</v>
      </c>
      <c r="K46" s="3">
        <v>-5.5243495630000004E-3</v>
      </c>
      <c r="L46" s="3">
        <v>2.934997378E-2</v>
      </c>
      <c r="M46" s="4">
        <v>1323677500000</v>
      </c>
      <c r="N46" s="4">
        <v>1268088214286</v>
      </c>
      <c r="O46" s="4">
        <v>-55589285714</v>
      </c>
      <c r="P46" s="3">
        <v>-1.5063480109999999E-2</v>
      </c>
      <c r="Q46" s="3">
        <v>0.76291905370000002</v>
      </c>
      <c r="R46" s="3">
        <v>1.4697026239999999E-2</v>
      </c>
      <c r="S46" s="4">
        <v>2815426777805</v>
      </c>
      <c r="T46" s="3">
        <v>1.9339285710000001E-2</v>
      </c>
      <c r="U46" s="4">
        <v>54448342864</v>
      </c>
      <c r="V46" s="3">
        <v>1.475430956E-2</v>
      </c>
      <c r="W46" s="3">
        <v>3.6999999999999998E-2</v>
      </c>
      <c r="X46" s="4">
        <v>30270.87052</v>
      </c>
      <c r="Y46" s="4">
        <v>29150.848310000001</v>
      </c>
      <c r="Z46" s="6">
        <v>0.94519020220000005</v>
      </c>
      <c r="AA46" s="3">
        <v>3.662556869E-3</v>
      </c>
      <c r="AB46" s="6">
        <v>0.27563676040000001</v>
      </c>
      <c r="AC46" s="3">
        <v>-2.6190710190000001E-2</v>
      </c>
      <c r="AD46" s="6">
        <v>0.66955344179999998</v>
      </c>
      <c r="AE46" s="3">
        <v>0.11989125</v>
      </c>
      <c r="AF46" s="3">
        <v>0.12989125000000001</v>
      </c>
      <c r="AG46" s="3">
        <v>0.11289125</v>
      </c>
      <c r="AH46" s="3">
        <v>6.2891249999999996E-2</v>
      </c>
      <c r="AI46" s="3">
        <v>0.42556500000000003</v>
      </c>
      <c r="AJ46" s="6">
        <v>0.42509718410000003</v>
      </c>
      <c r="AK46" s="4">
        <v>19518.05082</v>
      </c>
      <c r="AL46" t="s">
        <v>85</v>
      </c>
      <c r="AM46" t="s">
        <v>86</v>
      </c>
      <c r="AN46" t="str">
        <f t="shared" si="1"/>
        <v>Good Economic Resilience with Moderate Affordability.</v>
      </c>
      <c r="AP46" t="s">
        <v>40</v>
      </c>
    </row>
    <row r="47" spans="1:42" x14ac:dyDescent="0.4">
      <c r="A47" t="str">
        <f t="shared" si="0"/>
        <v>JAPAN|2028</v>
      </c>
      <c r="B47" s="1" t="s">
        <v>80</v>
      </c>
      <c r="C47" s="1">
        <v>2028</v>
      </c>
      <c r="D47" s="4">
        <v>131237442252096</v>
      </c>
      <c r="E47" s="3">
        <v>4.375771782E-2</v>
      </c>
      <c r="F47" s="2">
        <v>8443822776</v>
      </c>
      <c r="G47" s="3">
        <v>8.465950178E-3</v>
      </c>
      <c r="H47" s="4">
        <v>3505185724021</v>
      </c>
      <c r="I47" s="3">
        <v>-5.0171364140000001E-2</v>
      </c>
      <c r="J47" s="2">
        <v>121279522.5</v>
      </c>
      <c r="K47" s="3">
        <v>-5.1751770449999998E-3</v>
      </c>
      <c r="L47" s="3">
        <v>2.670873239E-2</v>
      </c>
      <c r="M47" s="4">
        <v>1387216428571</v>
      </c>
      <c r="N47" s="4">
        <v>1329577857143</v>
      </c>
      <c r="O47" s="4">
        <v>-57638571429</v>
      </c>
      <c r="P47" s="3">
        <v>-1.6443799549999999E-2</v>
      </c>
      <c r="Q47" s="3">
        <v>0.66451124399999995</v>
      </c>
      <c r="R47" s="3">
        <v>-0.12898853330000001</v>
      </c>
      <c r="S47" s="4">
        <v>2329235325767</v>
      </c>
      <c r="T47" s="3">
        <v>2.2535714290000002E-2</v>
      </c>
      <c r="U47" s="4">
        <v>52490981806</v>
      </c>
      <c r="V47" s="3">
        <v>1.497523553E-2</v>
      </c>
      <c r="W47" s="3">
        <v>4.1357142860000001E-2</v>
      </c>
      <c r="X47" s="4">
        <v>28901.71112</v>
      </c>
      <c r="Y47" s="4">
        <v>27706.41893</v>
      </c>
      <c r="Z47" s="6">
        <v>0.9488832519</v>
      </c>
      <c r="AA47" s="3">
        <v>3.9072026740000002E-3</v>
      </c>
      <c r="AB47" s="6">
        <v>0.26908808820000002</v>
      </c>
      <c r="AC47" s="3">
        <v>-2.4336537200000001E-2</v>
      </c>
      <c r="AD47" s="6">
        <v>0.67979516380000005</v>
      </c>
      <c r="AE47" s="3">
        <v>0.12521081249999999</v>
      </c>
      <c r="AF47" s="3">
        <v>0.1352108125</v>
      </c>
      <c r="AG47" s="3">
        <v>0.1182108125</v>
      </c>
      <c r="AH47" s="3">
        <v>6.8210812499999995E-2</v>
      </c>
      <c r="AI47" s="3">
        <v>0.44684325000000003</v>
      </c>
      <c r="AJ47" s="6">
        <v>0.44213294730000002</v>
      </c>
      <c r="AK47" s="4">
        <v>18834.689590000002</v>
      </c>
      <c r="AL47" t="s">
        <v>85</v>
      </c>
      <c r="AM47" t="s">
        <v>87</v>
      </c>
      <c r="AN47" t="str">
        <f t="shared" si="1"/>
        <v>Good Economic Resilience with Moderate Affordability.</v>
      </c>
      <c r="AP47" t="s">
        <v>40</v>
      </c>
    </row>
    <row r="48" spans="1:42" x14ac:dyDescent="0.4">
      <c r="A48" t="str">
        <f t="shared" si="0"/>
        <v>JAPAN|2029</v>
      </c>
      <c r="B48" s="1" t="s">
        <v>80</v>
      </c>
      <c r="C48" s="1">
        <v>2029</v>
      </c>
      <c r="D48" s="4">
        <v>136712479650225</v>
      </c>
      <c r="E48" s="3">
        <v>4.1718562200000003E-2</v>
      </c>
      <c r="F48" s="2">
        <v>8514849364</v>
      </c>
      <c r="G48" s="3">
        <v>8.4116624760000001E-3</v>
      </c>
      <c r="H48" s="4">
        <v>3329974985170</v>
      </c>
      <c r="I48" s="3">
        <v>-4.9986149850000001E-2</v>
      </c>
      <c r="J48" s="2">
        <v>120665448.40000001</v>
      </c>
      <c r="K48" s="3">
        <v>-5.0632957669999997E-3</v>
      </c>
      <c r="L48" s="3">
        <v>2.435750557E-2</v>
      </c>
      <c r="M48" s="4">
        <v>1450755357143</v>
      </c>
      <c r="N48" s="4">
        <v>1391067500000</v>
      </c>
      <c r="O48" s="4">
        <v>-59687857143</v>
      </c>
      <c r="P48" s="3">
        <v>-1.7924416070000001E-2</v>
      </c>
      <c r="Q48" s="3">
        <v>0.52768659470000001</v>
      </c>
      <c r="R48" s="3">
        <v>-0.20590268480000001</v>
      </c>
      <c r="S48" s="4">
        <v>1757183160425</v>
      </c>
      <c r="T48" s="3">
        <v>2.5732142860000001E-2</v>
      </c>
      <c r="U48" s="4">
        <v>45216088110</v>
      </c>
      <c r="V48" s="3">
        <v>1.3578506840000001E-2</v>
      </c>
      <c r="W48" s="3">
        <v>4.5714285709999997E-2</v>
      </c>
      <c r="X48" s="4">
        <v>27596.756399999998</v>
      </c>
      <c r="Y48" s="4">
        <v>26335.19039</v>
      </c>
      <c r="Z48" s="6">
        <v>0.95266533170000001</v>
      </c>
      <c r="AA48" s="3">
        <v>3.9858220070000004E-3</v>
      </c>
      <c r="AB48" s="6">
        <v>0.26279405449999999</v>
      </c>
      <c r="AC48" s="3">
        <v>-2.3950441730000001E-2</v>
      </c>
      <c r="AD48" s="6">
        <v>0.68987127719999997</v>
      </c>
      <c r="AE48" s="3">
        <v>0.13079635310000001</v>
      </c>
      <c r="AF48" s="3">
        <v>0.14079635309999999</v>
      </c>
      <c r="AG48" s="3">
        <v>0.12379635310000001</v>
      </c>
      <c r="AH48" s="3">
        <v>7.3796353130000006E-2</v>
      </c>
      <c r="AI48" s="3">
        <v>0.46918541250000001</v>
      </c>
      <c r="AJ48" s="6">
        <v>0.4620399952</v>
      </c>
      <c r="AK48" s="4">
        <v>18167.89143</v>
      </c>
      <c r="AL48" t="s">
        <v>85</v>
      </c>
      <c r="AM48" t="s">
        <v>88</v>
      </c>
      <c r="AN48" t="str">
        <f t="shared" si="1"/>
        <v>Good Economic Resilience with Moderate Affordability.</v>
      </c>
      <c r="AP48" t="s">
        <v>40</v>
      </c>
    </row>
    <row r="49" spans="1:42" x14ac:dyDescent="0.4">
      <c r="A49" t="str">
        <f t="shared" si="0"/>
        <v>JAPAN|2030</v>
      </c>
      <c r="B49" s="1" t="s">
        <v>80</v>
      </c>
      <c r="C49" s="1">
        <v>2030</v>
      </c>
      <c r="D49" s="4">
        <v>141834754671550</v>
      </c>
      <c r="E49" s="3"/>
      <c r="F49" s="2">
        <v>8586617399</v>
      </c>
      <c r="G49" s="3"/>
      <c r="H49" s="4">
        <v>3163692913291</v>
      </c>
      <c r="I49" s="3"/>
      <c r="J49" s="2">
        <v>120035819.3</v>
      </c>
      <c r="K49" s="3"/>
      <c r="L49" s="3">
        <v>2.2305484439999999E-2</v>
      </c>
      <c r="M49" s="4">
        <v>1514294285714</v>
      </c>
      <c r="N49" s="4">
        <v>1452557142857</v>
      </c>
      <c r="O49" s="4">
        <v>-61737142857</v>
      </c>
      <c r="P49" s="3">
        <v>-1.9514265310000001E-2</v>
      </c>
      <c r="Q49" s="3">
        <v>0.37839313810000003</v>
      </c>
      <c r="R49" s="3"/>
      <c r="S49" s="4">
        <v>1197119689323</v>
      </c>
      <c r="T49" s="3">
        <v>2.8928571430000001E-2</v>
      </c>
      <c r="U49" s="4">
        <v>34630962441</v>
      </c>
      <c r="V49" s="3">
        <v>1.0946372919999999E-2</v>
      </c>
      <c r="W49" s="3">
        <v>5.007142857E-2</v>
      </c>
      <c r="X49" s="4">
        <v>26356.240419999998</v>
      </c>
      <c r="Y49" s="4">
        <v>25036.54581</v>
      </c>
      <c r="Z49" s="6">
        <v>0.95648220660000005</v>
      </c>
      <c r="AA49" s="3"/>
      <c r="AB49" s="6">
        <v>0.25660998699999998</v>
      </c>
      <c r="AC49" s="3"/>
      <c r="AD49" s="6">
        <v>0.69987221960000001</v>
      </c>
      <c r="AE49" s="3">
        <v>0.13666117080000001</v>
      </c>
      <c r="AF49" s="3">
        <v>0.14666117079999999</v>
      </c>
      <c r="AG49" s="3">
        <v>0.1296611708</v>
      </c>
      <c r="AH49" s="3">
        <v>7.9661170779999999E-2</v>
      </c>
      <c r="AI49" s="3">
        <v>0.49264468309999998</v>
      </c>
      <c r="AJ49" s="6">
        <v>0.4844895293</v>
      </c>
      <c r="AK49" s="4">
        <v>17522.382890000001</v>
      </c>
      <c r="AL49" t="s">
        <v>85</v>
      </c>
      <c r="AM49" t="s">
        <v>89</v>
      </c>
      <c r="AN49" t="str">
        <f t="shared" si="1"/>
        <v>Good Economic Resilience with Moderate Affordability.</v>
      </c>
      <c r="AP49" t="s">
        <v>40</v>
      </c>
    </row>
    <row r="50" spans="1:42" x14ac:dyDescent="0.4">
      <c r="A50" t="str">
        <f t="shared" si="0"/>
        <v>CHINA|2019</v>
      </c>
      <c r="B50" s="1" t="s">
        <v>92</v>
      </c>
      <c r="C50" s="1">
        <v>2019</v>
      </c>
      <c r="D50" s="4">
        <v>87700000000000</v>
      </c>
      <c r="E50" s="3"/>
      <c r="F50" s="2">
        <v>7810000000</v>
      </c>
      <c r="G50" s="3"/>
      <c r="H50" s="4">
        <v>14560000000000</v>
      </c>
      <c r="I50" s="3"/>
      <c r="J50" s="2">
        <v>1410000000</v>
      </c>
      <c r="K50" s="3"/>
      <c r="L50" s="3">
        <v>0.16602052449999999</v>
      </c>
      <c r="M50" s="4">
        <v>2500000000000</v>
      </c>
      <c r="N50" s="4">
        <v>2630000000000</v>
      </c>
      <c r="O50" s="4">
        <v>130000000000</v>
      </c>
      <c r="P50" s="3">
        <v>8.9285714290000002E-3</v>
      </c>
      <c r="Q50" s="3">
        <v>0.59399999999999997</v>
      </c>
      <c r="R50" s="3"/>
      <c r="S50" s="4">
        <v>8648640000000</v>
      </c>
      <c r="T50" s="3">
        <v>4.1500000000000002E-2</v>
      </c>
      <c r="U50" s="4">
        <v>358918560000</v>
      </c>
      <c r="V50" s="3">
        <v>2.4650999999999999E-2</v>
      </c>
      <c r="W50" s="3">
        <v>2.9000000000000001E-2</v>
      </c>
      <c r="X50" s="4">
        <v>10326.24113</v>
      </c>
      <c r="Y50" s="4">
        <v>10026.780140000001</v>
      </c>
      <c r="Z50" s="6">
        <v>0.76</v>
      </c>
      <c r="AA50" s="3"/>
      <c r="AB50" s="6">
        <v>0.38200000000000001</v>
      </c>
      <c r="AC50" s="3"/>
      <c r="AD50" s="6">
        <v>0.378</v>
      </c>
      <c r="AE50" s="3">
        <v>0.28470099440000002</v>
      </c>
      <c r="AF50" s="3">
        <v>3.470099443E-2</v>
      </c>
      <c r="AG50" s="3">
        <v>6.7700994429999994E-2</v>
      </c>
      <c r="AH50" s="3">
        <v>4.700994426E-3</v>
      </c>
      <c r="AI50" s="3">
        <v>0.39180397769999997</v>
      </c>
      <c r="AJ50" s="6">
        <v>0.54210207359999996</v>
      </c>
      <c r="AK50" s="4">
        <v>3790.1228940000001</v>
      </c>
      <c r="AL50" t="s">
        <v>90</v>
      </c>
      <c r="AM50" t="s">
        <v>91</v>
      </c>
      <c r="AN50" t="str">
        <f t="shared" si="1"/>
        <v>Excellent Economic Resilience with Poor Affordability.</v>
      </c>
      <c r="AP50" t="s">
        <v>40</v>
      </c>
    </row>
    <row r="51" spans="1:42" x14ac:dyDescent="0.4">
      <c r="A51" t="str">
        <f t="shared" si="0"/>
        <v>CHINA|2020</v>
      </c>
      <c r="B51" s="1" t="s">
        <v>92</v>
      </c>
      <c r="C51" s="1">
        <v>2020</v>
      </c>
      <c r="D51" s="4">
        <v>84750000000000</v>
      </c>
      <c r="E51" s="3">
        <v>-3.3637400230000003E-2</v>
      </c>
      <c r="F51" s="2">
        <v>7890000000</v>
      </c>
      <c r="G51" s="3">
        <v>1.0243277849999999E-2</v>
      </c>
      <c r="H51" s="4">
        <v>15000000000000</v>
      </c>
      <c r="I51" s="3">
        <v>3.0219780219999999E-2</v>
      </c>
      <c r="J51" s="2">
        <v>1410000000</v>
      </c>
      <c r="K51" s="3">
        <v>0</v>
      </c>
      <c r="L51" s="3">
        <v>0.17699115039999999</v>
      </c>
      <c r="M51" s="4">
        <v>2370000000000</v>
      </c>
      <c r="N51" s="4">
        <v>2730000000000</v>
      </c>
      <c r="O51" s="4">
        <v>360000000000</v>
      </c>
      <c r="P51" s="3">
        <v>2.4E-2</v>
      </c>
      <c r="Q51" s="3">
        <v>0.69</v>
      </c>
      <c r="R51" s="3">
        <v>0.1616161616</v>
      </c>
      <c r="S51" s="4">
        <v>10350000000000</v>
      </c>
      <c r="T51" s="3">
        <v>3.7999999999999999E-2</v>
      </c>
      <c r="U51" s="4">
        <v>393300000000</v>
      </c>
      <c r="V51" s="3">
        <v>2.622E-2</v>
      </c>
      <c r="W51" s="3">
        <v>2.4E-2</v>
      </c>
      <c r="X51" s="4">
        <v>10638.29787</v>
      </c>
      <c r="Y51" s="4">
        <v>10382.978719999999</v>
      </c>
      <c r="Z51" s="6">
        <v>0.77</v>
      </c>
      <c r="AA51" s="3">
        <v>1.315789474E-2</v>
      </c>
      <c r="AB51" s="6">
        <v>0.371</v>
      </c>
      <c r="AC51" s="3">
        <v>-2.9649595689999999E-2</v>
      </c>
      <c r="AD51" s="6">
        <v>0.39900000000000002</v>
      </c>
      <c r="AE51" s="3">
        <v>0.2898563099</v>
      </c>
      <c r="AF51" s="3">
        <v>3.9856309919999999E-2</v>
      </c>
      <c r="AG51" s="3">
        <v>7.2856309920000001E-2</v>
      </c>
      <c r="AH51" s="3">
        <v>9.8563099219999995E-3</v>
      </c>
      <c r="AI51" s="3">
        <v>0.4124252397</v>
      </c>
      <c r="AJ51" s="6">
        <v>0.58719639010000002</v>
      </c>
      <c r="AK51" s="4">
        <v>4142.8085110000002</v>
      </c>
      <c r="AL51" t="s">
        <v>90</v>
      </c>
      <c r="AM51" t="s">
        <v>93</v>
      </c>
      <c r="AN51" t="str">
        <f t="shared" si="1"/>
        <v>Excellent Economic Resilience with Poor Affordability.</v>
      </c>
      <c r="AP51" t="s">
        <v>40</v>
      </c>
    </row>
    <row r="52" spans="1:42" x14ac:dyDescent="0.4">
      <c r="A52" t="str">
        <f t="shared" si="0"/>
        <v>CHINA|2021</v>
      </c>
      <c r="B52" s="1" t="s">
        <v>92</v>
      </c>
      <c r="C52" s="1">
        <v>2021</v>
      </c>
      <c r="D52" s="4">
        <v>96140000000000</v>
      </c>
      <c r="E52" s="3">
        <v>0.13439528019999999</v>
      </c>
      <c r="F52" s="2">
        <v>7950000000</v>
      </c>
      <c r="G52" s="3">
        <v>7.6045627380000001E-3</v>
      </c>
      <c r="H52" s="4">
        <v>18200000000000</v>
      </c>
      <c r="I52" s="3">
        <v>0.21333333330000001</v>
      </c>
      <c r="J52" s="2">
        <v>1410000000</v>
      </c>
      <c r="K52" s="3">
        <v>0</v>
      </c>
      <c r="L52" s="3">
        <v>0.18930726019999999</v>
      </c>
      <c r="M52" s="4">
        <v>3090000000000</v>
      </c>
      <c r="N52" s="4">
        <v>3550000000000</v>
      </c>
      <c r="O52" s="4">
        <v>460000000000</v>
      </c>
      <c r="P52" s="3">
        <v>2.5274725269999999E-2</v>
      </c>
      <c r="Q52" s="3">
        <v>0.70099999999999996</v>
      </c>
      <c r="R52" s="3">
        <v>1.5942028989999999E-2</v>
      </c>
      <c r="S52" s="4">
        <v>12758200000000</v>
      </c>
      <c r="T52" s="3">
        <v>3.85E-2</v>
      </c>
      <c r="U52" s="4">
        <v>491190700000</v>
      </c>
      <c r="V52" s="3">
        <v>2.6988499999999999E-2</v>
      </c>
      <c r="W52" s="3">
        <v>0.01</v>
      </c>
      <c r="X52" s="4">
        <v>12907.80142</v>
      </c>
      <c r="Y52" s="4">
        <v>12778.723400000001</v>
      </c>
      <c r="Z52" s="6">
        <v>0.79</v>
      </c>
      <c r="AA52" s="3">
        <v>2.5974025969999998E-2</v>
      </c>
      <c r="AB52" s="6">
        <v>0.35699999999999998</v>
      </c>
      <c r="AC52" s="3">
        <v>-3.9215686270000001E-2</v>
      </c>
      <c r="AD52" s="6">
        <v>0.433</v>
      </c>
      <c r="AE52" s="3">
        <v>0.29528295780000002</v>
      </c>
      <c r="AF52" s="3">
        <v>4.5282957810000003E-2</v>
      </c>
      <c r="AG52" s="3">
        <v>7.8282957809999998E-2</v>
      </c>
      <c r="AH52" s="3">
        <v>1.5282957809999999E-2</v>
      </c>
      <c r="AI52" s="3">
        <v>0.43413183129999999</v>
      </c>
      <c r="AJ52" s="6">
        <v>0.62172531679999998</v>
      </c>
      <c r="AK52" s="4">
        <v>5533.187234</v>
      </c>
      <c r="AL52" t="s">
        <v>94</v>
      </c>
      <c r="AM52" t="s">
        <v>95</v>
      </c>
      <c r="AN52" t="str">
        <f t="shared" si="1"/>
        <v>Excellent Economic Resilience with Challenging Affordability.</v>
      </c>
      <c r="AP52" t="s">
        <v>40</v>
      </c>
    </row>
    <row r="53" spans="1:42" x14ac:dyDescent="0.4">
      <c r="A53" t="str">
        <f t="shared" si="0"/>
        <v>CHINA|2022</v>
      </c>
      <c r="B53" s="1" t="s">
        <v>92</v>
      </c>
      <c r="C53" s="1">
        <v>2022</v>
      </c>
      <c r="D53" s="4">
        <v>101560000000000</v>
      </c>
      <c r="E53" s="3">
        <v>5.6376118160000002E-2</v>
      </c>
      <c r="F53" s="2">
        <v>8020000000</v>
      </c>
      <c r="G53" s="3">
        <v>8.8050314469999991E-3</v>
      </c>
      <c r="H53" s="4">
        <v>18320000000000</v>
      </c>
      <c r="I53" s="3">
        <v>6.5934065930000002E-3</v>
      </c>
      <c r="J53" s="2">
        <v>1410000000</v>
      </c>
      <c r="K53" s="3">
        <v>0</v>
      </c>
      <c r="L53" s="3">
        <v>0.1803859787</v>
      </c>
      <c r="M53" s="4">
        <v>3140000000000</v>
      </c>
      <c r="N53" s="4">
        <v>3720000000000</v>
      </c>
      <c r="O53" s="4">
        <v>580000000000</v>
      </c>
      <c r="P53" s="3">
        <v>3.1659388650000002E-2</v>
      </c>
      <c r="Q53" s="3">
        <v>0.755</v>
      </c>
      <c r="R53" s="3">
        <v>7.7032810270000002E-2</v>
      </c>
      <c r="S53" s="4">
        <v>13831600000000</v>
      </c>
      <c r="T53" s="3">
        <v>3.6499999999999998E-2</v>
      </c>
      <c r="U53" s="4">
        <v>504853400000</v>
      </c>
      <c r="V53" s="3">
        <v>2.7557499999999999E-2</v>
      </c>
      <c r="W53" s="3">
        <v>0.02</v>
      </c>
      <c r="X53" s="4">
        <v>12992.907800000001</v>
      </c>
      <c r="Y53" s="4">
        <v>12733.049650000001</v>
      </c>
      <c r="Z53" s="6">
        <v>0.79</v>
      </c>
      <c r="AA53" s="3">
        <v>0</v>
      </c>
      <c r="AB53" s="6">
        <v>0.36</v>
      </c>
      <c r="AC53" s="3">
        <v>8.3333333329999992E-3</v>
      </c>
      <c r="AD53" s="6">
        <v>0.43</v>
      </c>
      <c r="AE53" s="3">
        <v>0.30099521880000002</v>
      </c>
      <c r="AF53" s="3">
        <v>5.0995218750000001E-2</v>
      </c>
      <c r="AG53" s="3">
        <v>8.3995218750000003E-2</v>
      </c>
      <c r="AH53" s="3">
        <v>2.0995218749999999E-2</v>
      </c>
      <c r="AI53" s="3">
        <v>0.45698087500000001</v>
      </c>
      <c r="AJ53" s="6">
        <v>0.64146874239999996</v>
      </c>
      <c r="AK53" s="4">
        <v>5475.2113479999998</v>
      </c>
      <c r="AL53" t="s">
        <v>94</v>
      </c>
      <c r="AM53" t="s">
        <v>96</v>
      </c>
      <c r="AN53" t="str">
        <f t="shared" si="1"/>
        <v>Excellent Economic Resilience with Challenging Affordability.</v>
      </c>
      <c r="AP53" t="s">
        <v>40</v>
      </c>
    </row>
    <row r="54" spans="1:42" x14ac:dyDescent="0.4">
      <c r="A54" t="str">
        <f t="shared" si="0"/>
        <v>CHINA|2023</v>
      </c>
      <c r="B54" s="1" t="s">
        <v>92</v>
      </c>
      <c r="C54" s="1">
        <v>2023</v>
      </c>
      <c r="D54" s="4">
        <v>106800000000000</v>
      </c>
      <c r="E54" s="3">
        <v>5.1595116189999998E-2</v>
      </c>
      <c r="F54" s="2">
        <v>8090000000</v>
      </c>
      <c r="G54" s="3">
        <v>8.7281795509999999E-3</v>
      </c>
      <c r="H54" s="4">
        <v>18270000000000</v>
      </c>
      <c r="I54" s="3">
        <v>-2.7292576420000002E-3</v>
      </c>
      <c r="J54" s="2">
        <v>1410000000</v>
      </c>
      <c r="K54" s="3">
        <v>0</v>
      </c>
      <c r="L54" s="3">
        <v>0.1710674157</v>
      </c>
      <c r="M54" s="4">
        <v>3110000000000</v>
      </c>
      <c r="N54" s="4">
        <v>3490000000000</v>
      </c>
      <c r="O54" s="4">
        <v>380000000000</v>
      </c>
      <c r="P54" s="3">
        <v>2.0799124249999999E-2</v>
      </c>
      <c r="Q54" s="3">
        <v>0.82</v>
      </c>
      <c r="R54" s="3">
        <v>8.6092715230000005E-2</v>
      </c>
      <c r="S54" s="4">
        <v>14981400000000</v>
      </c>
      <c r="T54" s="3">
        <v>3.4500000000000003E-2</v>
      </c>
      <c r="U54" s="4">
        <v>516858300000</v>
      </c>
      <c r="V54" s="3">
        <v>2.8289999999999999E-2</v>
      </c>
      <c r="W54" s="3">
        <v>2E-3</v>
      </c>
      <c r="X54" s="4">
        <v>12957.446809999999</v>
      </c>
      <c r="Y54" s="4">
        <v>12931.53191</v>
      </c>
      <c r="Z54" s="6">
        <v>0.8</v>
      </c>
      <c r="AA54" s="3">
        <v>1.265822785E-2</v>
      </c>
      <c r="AB54" s="6">
        <v>0.35849999999999999</v>
      </c>
      <c r="AC54" s="3">
        <v>-4.1841004179999997E-3</v>
      </c>
      <c r="AD54" s="6">
        <v>0.4415</v>
      </c>
      <c r="AE54" s="3">
        <v>0.30700812500000002</v>
      </c>
      <c r="AF54" s="3">
        <v>5.7008125E-2</v>
      </c>
      <c r="AG54" s="3">
        <v>9.0008124999999994E-2</v>
      </c>
      <c r="AH54" s="3">
        <v>2.7008125000000001E-2</v>
      </c>
      <c r="AI54" s="3">
        <v>0.48103249999999997</v>
      </c>
      <c r="AJ54" s="6">
        <v>0.64460903999999997</v>
      </c>
      <c r="AK54" s="4">
        <v>5709.2713400000002</v>
      </c>
      <c r="AL54" t="s">
        <v>94</v>
      </c>
      <c r="AM54" t="s">
        <v>96</v>
      </c>
      <c r="AN54" t="str">
        <f t="shared" si="1"/>
        <v>Excellent Economic Resilience with Challenging Affordability.</v>
      </c>
      <c r="AP54" t="s">
        <v>40</v>
      </c>
    </row>
    <row r="55" spans="1:42" x14ac:dyDescent="0.4">
      <c r="A55" t="str">
        <f t="shared" si="0"/>
        <v>CHINA|2024</v>
      </c>
      <c r="B55" s="1" t="s">
        <v>92</v>
      </c>
      <c r="C55" s="1">
        <v>2024</v>
      </c>
      <c r="D55" s="4">
        <v>112600000000000</v>
      </c>
      <c r="E55" s="3">
        <v>5.4307116099999997E-2</v>
      </c>
      <c r="F55" s="2">
        <v>8161972572</v>
      </c>
      <c r="G55" s="3">
        <v>8.8964860320000002E-3</v>
      </c>
      <c r="H55" s="4">
        <v>18740000000000</v>
      </c>
      <c r="I55" s="3">
        <v>2.572523262E-2</v>
      </c>
      <c r="J55" s="2">
        <v>1410000000</v>
      </c>
      <c r="K55" s="3">
        <v>0</v>
      </c>
      <c r="L55" s="3">
        <v>0.1664298401</v>
      </c>
      <c r="M55" s="4">
        <v>3220000000000</v>
      </c>
      <c r="N55" s="4">
        <v>3750000000000</v>
      </c>
      <c r="O55" s="4">
        <v>530000000000</v>
      </c>
      <c r="P55" s="3">
        <v>2.8281750269999999E-2</v>
      </c>
      <c r="Q55" s="3">
        <v>0.88300000000000001</v>
      </c>
      <c r="R55" s="3">
        <v>7.6829268290000002E-2</v>
      </c>
      <c r="S55" s="4">
        <v>16547420000000</v>
      </c>
      <c r="T55" s="3">
        <v>3.1E-2</v>
      </c>
      <c r="U55" s="4">
        <v>512970020000</v>
      </c>
      <c r="V55" s="3">
        <v>2.7373000000000001E-2</v>
      </c>
      <c r="W55" s="3">
        <v>2E-3</v>
      </c>
      <c r="X55" s="4">
        <v>13290.780140000001</v>
      </c>
      <c r="Y55" s="4">
        <v>13264.19858</v>
      </c>
      <c r="Z55" s="6">
        <v>0.79849999999999999</v>
      </c>
      <c r="AA55" s="3">
        <v>-1.8749999999999999E-3</v>
      </c>
      <c r="AB55" s="6">
        <v>0.35775000000000001</v>
      </c>
      <c r="AC55" s="3">
        <v>-2.0964360589999999E-3</v>
      </c>
      <c r="AD55" s="6">
        <v>0.44074999999999998</v>
      </c>
      <c r="AE55" s="3">
        <v>0.31333749999999999</v>
      </c>
      <c r="AF55" s="3">
        <v>6.3337500000000005E-2</v>
      </c>
      <c r="AG55" s="3">
        <v>9.6337500000000006E-2</v>
      </c>
      <c r="AH55" s="3">
        <v>3.3337499999999999E-2</v>
      </c>
      <c r="AI55" s="3">
        <v>0.50634999999999997</v>
      </c>
      <c r="AJ55" s="6">
        <v>0.67368859039999995</v>
      </c>
      <c r="AK55" s="4">
        <v>5846.1955250000001</v>
      </c>
      <c r="AL55" t="s">
        <v>94</v>
      </c>
      <c r="AM55" t="s">
        <v>97</v>
      </c>
      <c r="AN55" t="str">
        <f t="shared" si="1"/>
        <v>Excellent Economic Resilience with Challenging Affordability.</v>
      </c>
      <c r="AP55" t="s">
        <v>40</v>
      </c>
    </row>
    <row r="56" spans="1:42" x14ac:dyDescent="0.4">
      <c r="A56" t="str">
        <f t="shared" si="0"/>
        <v>CHINA|2025</v>
      </c>
      <c r="B56" s="1" t="s">
        <v>92</v>
      </c>
      <c r="C56" s="1">
        <v>2025</v>
      </c>
      <c r="D56" s="4">
        <v>113795678000000</v>
      </c>
      <c r="E56" s="3">
        <v>1.061880995E-2</v>
      </c>
      <c r="F56" s="2">
        <v>8231613070</v>
      </c>
      <c r="G56" s="3">
        <v>8.5323121809999999E-3</v>
      </c>
      <c r="H56" s="4">
        <v>19232000000000</v>
      </c>
      <c r="I56" s="3">
        <v>2.6254002129999999E-2</v>
      </c>
      <c r="J56" s="2">
        <v>1408000000</v>
      </c>
      <c r="K56" s="3">
        <v>-1.418439716E-3</v>
      </c>
      <c r="L56" s="3">
        <v>0.16900466110000001</v>
      </c>
      <c r="M56" s="4">
        <v>3120000000000</v>
      </c>
      <c r="N56" s="4">
        <v>4120000000000</v>
      </c>
      <c r="O56" s="4">
        <v>1000000000000</v>
      </c>
      <c r="P56" s="3">
        <v>5.1996672209999997E-2</v>
      </c>
      <c r="Q56" s="3">
        <v>0.82399999999999995</v>
      </c>
      <c r="R56" s="3">
        <v>-6.6817667040000001E-2</v>
      </c>
      <c r="S56" s="4">
        <v>15847168000000</v>
      </c>
      <c r="T56" s="3">
        <v>0.03</v>
      </c>
      <c r="U56" s="4">
        <v>475415040000</v>
      </c>
      <c r="V56" s="3">
        <v>2.4719999999999999E-2</v>
      </c>
      <c r="W56" s="3">
        <v>1.5299999999999999E-2</v>
      </c>
      <c r="X56" s="4">
        <v>13659.090910000001</v>
      </c>
      <c r="Y56" s="4">
        <v>13450.106820000001</v>
      </c>
      <c r="Z56" s="6">
        <v>0.79700000000000004</v>
      </c>
      <c r="AA56" s="3">
        <v>-1.878522229E-3</v>
      </c>
      <c r="AB56" s="6">
        <v>0.35699999999999998</v>
      </c>
      <c r="AC56" s="3">
        <v>-2.100840336E-3</v>
      </c>
      <c r="AD56" s="6">
        <v>0.44</v>
      </c>
      <c r="AE56" s="3">
        <v>0.32</v>
      </c>
      <c r="AF56" s="3">
        <v>7.0000000000000007E-2</v>
      </c>
      <c r="AG56" s="3">
        <v>0.10299999999999999</v>
      </c>
      <c r="AH56" s="3">
        <v>0.04</v>
      </c>
      <c r="AI56" s="3">
        <v>0.53300000000000003</v>
      </c>
      <c r="AJ56" s="6">
        <v>0.72928133340000001</v>
      </c>
      <c r="AK56" s="4">
        <v>5918.0469999999996</v>
      </c>
      <c r="AL56" t="s">
        <v>94</v>
      </c>
      <c r="AM56" t="s">
        <v>98</v>
      </c>
      <c r="AN56" t="str">
        <f t="shared" si="1"/>
        <v>Superb Economic Resilience with Challenging Affordability.</v>
      </c>
      <c r="AO56" t="s">
        <v>311</v>
      </c>
      <c r="AP56" t="s">
        <v>40</v>
      </c>
    </row>
    <row r="57" spans="1:42" x14ac:dyDescent="0.4">
      <c r="A57" t="str">
        <f t="shared" si="0"/>
        <v>CHINA|2026</v>
      </c>
      <c r="B57" s="1" t="s">
        <v>92</v>
      </c>
      <c r="C57" s="1">
        <v>2026</v>
      </c>
      <c r="D57" s="4">
        <v>120063810405112</v>
      </c>
      <c r="E57" s="3">
        <v>5.5082341569999999E-2</v>
      </c>
      <c r="F57" s="2">
        <v>8302201675</v>
      </c>
      <c r="G57" s="3">
        <v>8.575306441E-3</v>
      </c>
      <c r="H57" s="4">
        <v>20373547071991</v>
      </c>
      <c r="I57" s="3">
        <v>5.9356648919999998E-2</v>
      </c>
      <c r="J57" s="2">
        <v>1408262141</v>
      </c>
      <c r="K57" s="3">
        <v>1.861798072E-4</v>
      </c>
      <c r="L57" s="3">
        <v>0.16968932610000001</v>
      </c>
      <c r="M57" s="4">
        <v>3447142857143</v>
      </c>
      <c r="N57" s="4">
        <v>4348571428571</v>
      </c>
      <c r="O57" s="4">
        <v>901428571429</v>
      </c>
      <c r="P57" s="3">
        <v>4.4245048160000001E-2</v>
      </c>
      <c r="Q57" s="3">
        <v>0.89765250699999999</v>
      </c>
      <c r="R57" s="3">
        <v>8.938411047E-2</v>
      </c>
      <c r="S57" s="4">
        <v>18288365606260</v>
      </c>
      <c r="T57" s="3">
        <v>2.8214285709999998E-2</v>
      </c>
      <c r="U57" s="4">
        <v>515993172462</v>
      </c>
      <c r="V57" s="3">
        <v>2.532662431E-2</v>
      </c>
      <c r="W57" s="3">
        <v>1.3142857140000001E-3</v>
      </c>
      <c r="X57" s="4">
        <v>14467.155280000001</v>
      </c>
      <c r="Y57" s="4">
        <v>14448.141310000001</v>
      </c>
      <c r="Z57" s="6">
        <v>0.80765471830000002</v>
      </c>
      <c r="AA57" s="3">
        <v>1.336852988E-2</v>
      </c>
      <c r="AB57" s="6">
        <v>0.35096768569999998</v>
      </c>
      <c r="AC57" s="3">
        <v>-1.7187662950000002E-2</v>
      </c>
      <c r="AD57" s="6">
        <v>0.45668703259999999</v>
      </c>
      <c r="AE57" s="3">
        <v>0.32666250000000002</v>
      </c>
      <c r="AF57" s="3">
        <v>7.6662499999999995E-2</v>
      </c>
      <c r="AG57" s="3">
        <v>0.1096625</v>
      </c>
      <c r="AH57" s="3">
        <v>4.6662500000000003E-2</v>
      </c>
      <c r="AI57" s="3">
        <v>0.55964999999999998</v>
      </c>
      <c r="AJ57" s="6">
        <v>0.74825774990000005</v>
      </c>
      <c r="AK57" s="4">
        <v>6598.2787790000002</v>
      </c>
      <c r="AL57" t="s">
        <v>94</v>
      </c>
      <c r="AM57" t="s">
        <v>99</v>
      </c>
      <c r="AN57" t="str">
        <f t="shared" si="1"/>
        <v>Superb Economic Resilience with Challenging Affordability.</v>
      </c>
      <c r="AP57" t="s">
        <v>40</v>
      </c>
    </row>
    <row r="58" spans="1:42" x14ac:dyDescent="0.4">
      <c r="A58" t="str">
        <f t="shared" si="0"/>
        <v>CHINA|2027</v>
      </c>
      <c r="B58" s="1" t="s">
        <v>92</v>
      </c>
      <c r="C58" s="1">
        <v>2027</v>
      </c>
      <c r="D58" s="4">
        <v>125735541889780</v>
      </c>
      <c r="E58" s="3">
        <v>4.7239309379999997E-2</v>
      </c>
      <c r="F58" s="2">
        <v>8372937901</v>
      </c>
      <c r="G58" s="3">
        <v>8.5201768609999996E-3</v>
      </c>
      <c r="H58" s="4">
        <v>21326201311915</v>
      </c>
      <c r="I58" s="3">
        <v>4.6759370699999997E-2</v>
      </c>
      <c r="J58" s="2">
        <v>1408179796</v>
      </c>
      <c r="K58" s="3">
        <v>-5.8473238260000001E-5</v>
      </c>
      <c r="L58" s="3">
        <v>0.16961155920000001</v>
      </c>
      <c r="M58" s="4">
        <v>3575000000000</v>
      </c>
      <c r="N58" s="4">
        <v>4578928571429</v>
      </c>
      <c r="O58" s="4">
        <v>1003928571429</v>
      </c>
      <c r="P58" s="3">
        <v>4.7074889559999999E-2</v>
      </c>
      <c r="Q58" s="3">
        <v>0.95358140899999999</v>
      </c>
      <c r="R58" s="3">
        <v>6.2305738020000001E-2</v>
      </c>
      <c r="S58" s="4">
        <v>20336269094859</v>
      </c>
      <c r="T58" s="3">
        <v>2.633928571E-2</v>
      </c>
      <c r="U58" s="4">
        <v>535642802052</v>
      </c>
      <c r="V58" s="3">
        <v>2.511665318E-2</v>
      </c>
      <c r="W58" s="3">
        <v>-2.010714286E-3</v>
      </c>
      <c r="X58" s="4">
        <v>15144.51591</v>
      </c>
      <c r="Y58" s="4">
        <v>15174.967199999999</v>
      </c>
      <c r="Z58" s="6">
        <v>0.81544419329999995</v>
      </c>
      <c r="AA58" s="3">
        <v>9.6445607589999999E-3</v>
      </c>
      <c r="AB58" s="6">
        <v>0.34654050250000001</v>
      </c>
      <c r="AC58" s="3">
        <v>-1.2775370140000001E-2</v>
      </c>
      <c r="AD58" s="6">
        <v>0.46890369079999999</v>
      </c>
      <c r="AE58" s="3">
        <v>0.33365812500000003</v>
      </c>
      <c r="AF58" s="3">
        <v>8.3658125E-2</v>
      </c>
      <c r="AG58" s="3">
        <v>0.116658125</v>
      </c>
      <c r="AH58" s="3">
        <v>5.3658125000000001E-2</v>
      </c>
      <c r="AI58" s="3">
        <v>0.5876325</v>
      </c>
      <c r="AJ58" s="6">
        <v>0.77920229559999998</v>
      </c>
      <c r="AK58" s="4">
        <v>7115.5981279999996</v>
      </c>
      <c r="AL58" t="s">
        <v>94</v>
      </c>
      <c r="AM58" t="s">
        <v>100</v>
      </c>
      <c r="AN58" t="str">
        <f t="shared" si="1"/>
        <v>Superb Economic Resilience with Challenging Affordability.</v>
      </c>
      <c r="AP58" t="s">
        <v>40</v>
      </c>
    </row>
    <row r="59" spans="1:42" x14ac:dyDescent="0.4">
      <c r="A59" t="str">
        <f t="shared" si="0"/>
        <v>CHINA|2028</v>
      </c>
      <c r="B59" s="1" t="s">
        <v>92</v>
      </c>
      <c r="C59" s="1">
        <v>2028</v>
      </c>
      <c r="D59" s="4">
        <v>131237442252096</v>
      </c>
      <c r="E59" s="3">
        <v>4.375771782E-2</v>
      </c>
      <c r="F59" s="2">
        <v>8443822776</v>
      </c>
      <c r="G59" s="3">
        <v>8.465950178E-3</v>
      </c>
      <c r="H59" s="4">
        <v>22218816211356</v>
      </c>
      <c r="I59" s="3">
        <v>4.185531621E-2</v>
      </c>
      <c r="J59" s="2">
        <v>1407980251</v>
      </c>
      <c r="K59" s="3">
        <v>-1.4170385850000001E-4</v>
      </c>
      <c r="L59" s="3">
        <v>0.16930241730000001</v>
      </c>
      <c r="M59" s="4">
        <v>3702857142857</v>
      </c>
      <c r="N59" s="4">
        <v>4809285714286</v>
      </c>
      <c r="O59" s="4">
        <v>1106428571429</v>
      </c>
      <c r="P59" s="3">
        <v>4.9796918109999998E-2</v>
      </c>
      <c r="Q59" s="3">
        <v>1.0036598480000001</v>
      </c>
      <c r="R59" s="3">
        <v>5.251616538E-2</v>
      </c>
      <c r="S59" s="4">
        <v>22300133700131</v>
      </c>
      <c r="T59" s="3">
        <v>2.4464285709999999E-2</v>
      </c>
      <c r="U59" s="4">
        <v>545556842307</v>
      </c>
      <c r="V59" s="3">
        <v>2.4553821279999999E-2</v>
      </c>
      <c r="W59" s="3">
        <v>-5.3357142859999998E-3</v>
      </c>
      <c r="X59" s="4">
        <v>15780.630579999999</v>
      </c>
      <c r="Y59" s="4">
        <v>15864.83152</v>
      </c>
      <c r="Z59" s="6">
        <v>0.82226147559999996</v>
      </c>
      <c r="AA59" s="3">
        <v>8.3602070959999993E-3</v>
      </c>
      <c r="AB59" s="6">
        <v>0.34266312589999998</v>
      </c>
      <c r="AC59" s="3">
        <v>-1.1315418460000001E-2</v>
      </c>
      <c r="AD59" s="6">
        <v>0.47959834979999999</v>
      </c>
      <c r="AE59" s="3">
        <v>0.3410035313</v>
      </c>
      <c r="AF59" s="3">
        <v>9.1003531250000005E-2</v>
      </c>
      <c r="AG59" s="3">
        <v>0.1240035313</v>
      </c>
      <c r="AH59" s="3">
        <v>6.100353125E-2</v>
      </c>
      <c r="AI59" s="3">
        <v>0.61701412499999997</v>
      </c>
      <c r="AJ59" s="6">
        <v>0.81155963909999995</v>
      </c>
      <c r="AK59" s="4">
        <v>7608.7470169999997</v>
      </c>
      <c r="AL59" t="s">
        <v>94</v>
      </c>
      <c r="AM59" t="s">
        <v>101</v>
      </c>
      <c r="AN59" t="str">
        <f t="shared" si="1"/>
        <v>Superb Economic Resilience with Challenging Affordability.</v>
      </c>
      <c r="AP59" t="s">
        <v>40</v>
      </c>
    </row>
    <row r="60" spans="1:42" x14ac:dyDescent="0.4">
      <c r="A60" t="str">
        <f t="shared" si="0"/>
        <v>CHINA|2029</v>
      </c>
      <c r="B60" s="1" t="s">
        <v>92</v>
      </c>
      <c r="C60" s="1">
        <v>2029</v>
      </c>
      <c r="D60" s="4">
        <v>136712479650225</v>
      </c>
      <c r="E60" s="3">
        <v>4.1718562200000003E-2</v>
      </c>
      <c r="F60" s="2">
        <v>8514849364</v>
      </c>
      <c r="G60" s="3">
        <v>8.4116624760000001E-3</v>
      </c>
      <c r="H60" s="4">
        <v>23095099157431</v>
      </c>
      <c r="I60" s="3">
        <v>3.9438777369999997E-2</v>
      </c>
      <c r="J60" s="2">
        <v>1407739047</v>
      </c>
      <c r="K60" s="3">
        <v>-1.713121055E-4</v>
      </c>
      <c r="L60" s="3">
        <v>0.16893190159999999</v>
      </c>
      <c r="M60" s="4">
        <v>3830714285714</v>
      </c>
      <c r="N60" s="4">
        <v>5039642857143</v>
      </c>
      <c r="O60" s="4">
        <v>1208928571429</v>
      </c>
      <c r="P60" s="3">
        <v>5.2345675729999999E-2</v>
      </c>
      <c r="Q60" s="3">
        <v>1.05195314</v>
      </c>
      <c r="R60" s="3">
        <v>4.8117190099999999E-2</v>
      </c>
      <c r="S60" s="4">
        <v>24294962068990</v>
      </c>
      <c r="T60" s="3">
        <v>2.258928571E-2</v>
      </c>
      <c r="U60" s="4">
        <v>548805839594</v>
      </c>
      <c r="V60" s="3">
        <v>2.3762870030000001E-2</v>
      </c>
      <c r="W60" s="3">
        <v>-8.6607142859999996E-3</v>
      </c>
      <c r="X60" s="4">
        <v>16405.809870000001</v>
      </c>
      <c r="Y60" s="4">
        <v>16547.895909999999</v>
      </c>
      <c r="Z60" s="6">
        <v>0.82873856769999998</v>
      </c>
      <c r="AA60" s="3">
        <v>7.8771683129999995E-3</v>
      </c>
      <c r="AB60" s="6">
        <v>0.33898559340000001</v>
      </c>
      <c r="AC60" s="3">
        <v>-1.0848639530000001E-2</v>
      </c>
      <c r="AD60" s="6">
        <v>0.48975297429999998</v>
      </c>
      <c r="AE60" s="3">
        <v>0.34871620780000001</v>
      </c>
      <c r="AF60" s="3">
        <v>9.8716207809999998E-2</v>
      </c>
      <c r="AG60" s="3">
        <v>0.13171620780000001</v>
      </c>
      <c r="AH60" s="3">
        <v>6.8716207809999999E-2</v>
      </c>
      <c r="AI60" s="3">
        <v>0.64786483130000005</v>
      </c>
      <c r="AJ60" s="6">
        <v>0.84537953850000003</v>
      </c>
      <c r="AK60" s="4">
        <v>8104.3812390000003</v>
      </c>
      <c r="AL60" t="s">
        <v>94</v>
      </c>
      <c r="AM60" t="s">
        <v>102</v>
      </c>
      <c r="AN60" t="str">
        <f t="shared" si="1"/>
        <v>Superb Economic Resilience with Challenging Affordability.</v>
      </c>
      <c r="AP60" t="s">
        <v>40</v>
      </c>
    </row>
    <row r="61" spans="1:42" x14ac:dyDescent="0.4">
      <c r="A61" t="str">
        <f t="shared" si="0"/>
        <v>CHINA|2030</v>
      </c>
      <c r="B61" s="1" t="s">
        <v>92</v>
      </c>
      <c r="C61" s="1">
        <v>2030</v>
      </c>
      <c r="D61" s="4">
        <v>141834754671550</v>
      </c>
      <c r="E61" s="3"/>
      <c r="F61" s="2">
        <v>8586617399</v>
      </c>
      <c r="G61" s="3"/>
      <c r="H61" s="4">
        <v>23512158970811</v>
      </c>
      <c r="I61" s="3"/>
      <c r="J61" s="2">
        <v>1407328433</v>
      </c>
      <c r="K61" s="3"/>
      <c r="L61" s="3">
        <v>0.16577149250000001</v>
      </c>
      <c r="M61" s="4">
        <v>3958571428571</v>
      </c>
      <c r="N61" s="4">
        <v>5270000000000</v>
      </c>
      <c r="O61" s="4">
        <v>1311428571429</v>
      </c>
      <c r="P61" s="3">
        <v>5.5776612140000001E-2</v>
      </c>
      <c r="Q61" s="3">
        <v>1.0999084539999999</v>
      </c>
      <c r="R61" s="3"/>
      <c r="S61" s="4">
        <v>25861222423396</v>
      </c>
      <c r="T61" s="3">
        <v>2.0714285709999999E-2</v>
      </c>
      <c r="U61" s="4">
        <v>535696750199</v>
      </c>
      <c r="V61" s="3">
        <v>2.2783817979999999E-2</v>
      </c>
      <c r="W61" s="3">
        <v>-1.1985714289999999E-2</v>
      </c>
      <c r="X61" s="4">
        <v>16706.945169999999</v>
      </c>
      <c r="Y61" s="4">
        <v>16907.189839999999</v>
      </c>
      <c r="Z61" s="6">
        <v>0.83509652960000003</v>
      </c>
      <c r="AA61" s="3"/>
      <c r="AB61" s="6">
        <v>0.3353862178</v>
      </c>
      <c r="AC61" s="3"/>
      <c r="AD61" s="6">
        <v>0.49971031189999998</v>
      </c>
      <c r="AE61" s="3">
        <v>0.35681451819999999</v>
      </c>
      <c r="AF61" s="3">
        <v>0.1068145182</v>
      </c>
      <c r="AG61" s="3">
        <v>0.13981451819999999</v>
      </c>
      <c r="AH61" s="3">
        <v>7.6814518200000001E-2</v>
      </c>
      <c r="AI61" s="3">
        <v>0.68025807279999995</v>
      </c>
      <c r="AJ61" s="6">
        <v>0.87902235949999996</v>
      </c>
      <c r="AK61" s="4">
        <v>8448.6971099999992</v>
      </c>
      <c r="AL61" t="s">
        <v>94</v>
      </c>
      <c r="AM61" t="s">
        <v>103</v>
      </c>
      <c r="AN61" t="str">
        <f t="shared" si="1"/>
        <v>Superb Economic Resilience with Challenging Affordability.</v>
      </c>
      <c r="AP61" t="s">
        <v>40</v>
      </c>
    </row>
    <row r="62" spans="1:42" x14ac:dyDescent="0.4">
      <c r="A62" t="str">
        <f t="shared" si="0"/>
        <v>GERMANY|2019</v>
      </c>
      <c r="B62" s="1" t="s">
        <v>105</v>
      </c>
      <c r="C62" s="1">
        <v>2019</v>
      </c>
      <c r="D62" s="4">
        <v>87700000000000</v>
      </c>
      <c r="E62" s="3"/>
      <c r="F62" s="2">
        <v>7810000000</v>
      </c>
      <c r="G62" s="3"/>
      <c r="H62" s="4">
        <v>3960000000000</v>
      </c>
      <c r="I62" s="3"/>
      <c r="J62" s="2">
        <v>83092962</v>
      </c>
      <c r="K62" s="3"/>
      <c r="L62" s="3">
        <v>4.5153933870000003E-2</v>
      </c>
      <c r="M62" s="4">
        <v>1450000000000</v>
      </c>
      <c r="N62" s="4">
        <v>1680000000000</v>
      </c>
      <c r="O62" s="4">
        <v>230000000000</v>
      </c>
      <c r="P62" s="3">
        <v>5.8080808079999997E-2</v>
      </c>
      <c r="Q62" s="3">
        <v>0.37219999999999998</v>
      </c>
      <c r="R62" s="3"/>
      <c r="S62" s="4">
        <v>1473912000000</v>
      </c>
      <c r="T62" s="3">
        <v>1E-3</v>
      </c>
      <c r="U62" s="4">
        <v>1473912000</v>
      </c>
      <c r="V62" s="3">
        <v>3.7219999999999999E-4</v>
      </c>
      <c r="W62" s="3">
        <v>1.4E-2</v>
      </c>
      <c r="X62" s="4">
        <v>47657.465859999997</v>
      </c>
      <c r="Y62" s="4">
        <v>46990.261339999997</v>
      </c>
      <c r="Z62" s="6">
        <v>0.94</v>
      </c>
      <c r="AA62" s="3"/>
      <c r="AB62" s="6">
        <v>0.29699999999999999</v>
      </c>
      <c r="AC62" s="3"/>
      <c r="AD62" s="6">
        <v>0.64300000000000002</v>
      </c>
      <c r="AE62" s="3">
        <v>0.16999915660000001</v>
      </c>
      <c r="AF62" s="3">
        <v>9.7999156609999999E-2</v>
      </c>
      <c r="AG62" s="3">
        <v>4.9999156609999998E-2</v>
      </c>
      <c r="AH62" s="3">
        <v>1.499915661E-2</v>
      </c>
      <c r="AI62" s="3">
        <v>0.3329966265</v>
      </c>
      <c r="AJ62" s="6">
        <v>0.4358591684</v>
      </c>
      <c r="AK62" s="4">
        <v>30214.73804</v>
      </c>
      <c r="AL62" t="s">
        <v>52</v>
      </c>
      <c r="AM62" t="s">
        <v>104</v>
      </c>
      <c r="AN62" t="str">
        <f t="shared" si="1"/>
        <v>Good Economic Resilience with Very Good Affordability.</v>
      </c>
      <c r="AP62" t="s">
        <v>40</v>
      </c>
    </row>
    <row r="63" spans="1:42" x14ac:dyDescent="0.4">
      <c r="A63" t="str">
        <f t="shared" si="0"/>
        <v>GERMANY|2020</v>
      </c>
      <c r="B63" s="1" t="s">
        <v>105</v>
      </c>
      <c r="C63" s="1">
        <v>2020</v>
      </c>
      <c r="D63" s="4">
        <v>84750000000000</v>
      </c>
      <c r="E63" s="3">
        <v>-3.3637400230000003E-2</v>
      </c>
      <c r="F63" s="2">
        <v>7890000000</v>
      </c>
      <c r="G63" s="3">
        <v>1.0243277849999999E-2</v>
      </c>
      <c r="H63" s="4">
        <v>3940000000000</v>
      </c>
      <c r="I63" s="3">
        <v>-5.0505050509999996E-3</v>
      </c>
      <c r="J63" s="2">
        <v>83160871</v>
      </c>
      <c r="K63" s="3">
        <v>8.1726536600000002E-4</v>
      </c>
      <c r="L63" s="3">
        <v>4.6489675520000003E-2</v>
      </c>
      <c r="M63" s="4">
        <v>1330000000000</v>
      </c>
      <c r="N63" s="4">
        <v>1540000000000</v>
      </c>
      <c r="O63" s="4">
        <v>210000000000</v>
      </c>
      <c r="P63" s="3">
        <v>5.3299492390000001E-2</v>
      </c>
      <c r="Q63" s="3">
        <v>0.44359999999999999</v>
      </c>
      <c r="R63" s="3">
        <v>0.1918323482</v>
      </c>
      <c r="S63" s="4">
        <v>1747784000000</v>
      </c>
      <c r="T63" s="3">
        <v>1E-3</v>
      </c>
      <c r="U63" s="4">
        <v>1747784000</v>
      </c>
      <c r="V63" s="3">
        <v>4.4359999999999999E-4</v>
      </c>
      <c r="W63" s="3">
        <v>1E-3</v>
      </c>
      <c r="X63" s="4">
        <v>47378.051149999999</v>
      </c>
      <c r="Y63" s="4">
        <v>47330.6731</v>
      </c>
      <c r="Z63" s="6">
        <v>0.94</v>
      </c>
      <c r="AA63" s="3">
        <v>0</v>
      </c>
      <c r="AB63" s="6">
        <v>0.30499999999999999</v>
      </c>
      <c r="AC63" s="3">
        <v>2.6229508200000001E-2</v>
      </c>
      <c r="AD63" s="6">
        <v>0.63500000000000001</v>
      </c>
      <c r="AE63" s="3">
        <v>0.17438069119999999</v>
      </c>
      <c r="AF63" s="3">
        <v>0.1023806912</v>
      </c>
      <c r="AG63" s="3">
        <v>5.4380691170000002E-2</v>
      </c>
      <c r="AH63" s="3">
        <v>1.9380691169999999E-2</v>
      </c>
      <c r="AI63" s="3">
        <v>0.35052276469999999</v>
      </c>
      <c r="AJ63" s="6">
        <v>0.44986833259999998</v>
      </c>
      <c r="AK63" s="4">
        <v>30054.977419999999</v>
      </c>
      <c r="AL63" t="s">
        <v>52</v>
      </c>
      <c r="AM63" t="s">
        <v>106</v>
      </c>
      <c r="AN63" t="str">
        <f t="shared" si="1"/>
        <v>Good Economic Resilience with Very Good Affordability.</v>
      </c>
      <c r="AP63" t="s">
        <v>40</v>
      </c>
    </row>
    <row r="64" spans="1:42" x14ac:dyDescent="0.4">
      <c r="A64" t="str">
        <f t="shared" si="0"/>
        <v>GERMANY|2021</v>
      </c>
      <c r="B64" s="1" t="s">
        <v>105</v>
      </c>
      <c r="C64" s="1">
        <v>2021</v>
      </c>
      <c r="D64" s="4">
        <v>96140000000000</v>
      </c>
      <c r="E64" s="3">
        <v>0.13439528019999999</v>
      </c>
      <c r="F64" s="2">
        <v>7950000000</v>
      </c>
      <c r="G64" s="3">
        <v>7.6045627380000001E-3</v>
      </c>
      <c r="H64" s="4">
        <v>4360000000000</v>
      </c>
      <c r="I64" s="3">
        <v>0.1065989848</v>
      </c>
      <c r="J64" s="2">
        <v>83196078</v>
      </c>
      <c r="K64" s="3">
        <v>4.2336016420000002E-4</v>
      </c>
      <c r="L64" s="3">
        <v>4.5350530479999998E-2</v>
      </c>
      <c r="M64" s="4">
        <v>1630000000000</v>
      </c>
      <c r="N64" s="4">
        <v>1850000000000</v>
      </c>
      <c r="O64" s="4">
        <v>220000000000</v>
      </c>
      <c r="P64" s="3">
        <v>5.0458715600000002E-2</v>
      </c>
      <c r="Q64" s="3">
        <v>0.45789999999999997</v>
      </c>
      <c r="R64" s="3">
        <v>3.2236248869999998E-2</v>
      </c>
      <c r="S64" s="4">
        <v>1996444000000</v>
      </c>
      <c r="T64" s="3">
        <v>1E-3</v>
      </c>
      <c r="U64" s="4">
        <v>1996444000</v>
      </c>
      <c r="V64" s="3">
        <v>4.5790000000000002E-4</v>
      </c>
      <c r="W64" s="3">
        <v>3.1E-2</v>
      </c>
      <c r="X64" s="4">
        <v>52406.316559999999</v>
      </c>
      <c r="Y64" s="4">
        <v>50781.720739999997</v>
      </c>
      <c r="Z64" s="6">
        <v>0.95</v>
      </c>
      <c r="AA64" s="3">
        <v>1.0638297870000001E-2</v>
      </c>
      <c r="AB64" s="6">
        <v>0.312</v>
      </c>
      <c r="AC64" s="3">
        <v>2.2435897440000001E-2</v>
      </c>
      <c r="AD64" s="6">
        <v>0.63800000000000001</v>
      </c>
      <c r="AE64" s="3">
        <v>0.1789928328</v>
      </c>
      <c r="AF64" s="3">
        <v>0.10699283280000001</v>
      </c>
      <c r="AG64" s="3">
        <v>5.899283281E-2</v>
      </c>
      <c r="AH64" s="3">
        <v>2.399283281E-2</v>
      </c>
      <c r="AI64" s="3">
        <v>0.36897133129999998</v>
      </c>
      <c r="AJ64" s="6">
        <v>0.46432267729999999</v>
      </c>
      <c r="AK64" s="4">
        <v>32398.737829999998</v>
      </c>
      <c r="AL64" t="s">
        <v>52</v>
      </c>
      <c r="AM64" t="s">
        <v>107</v>
      </c>
      <c r="AN64" t="str">
        <f t="shared" si="1"/>
        <v>Good Economic Resilience with Very Good Affordability.</v>
      </c>
      <c r="AP64" t="s">
        <v>40</v>
      </c>
    </row>
    <row r="65" spans="1:42" x14ac:dyDescent="0.4">
      <c r="A65" t="str">
        <f t="shared" si="0"/>
        <v>GERMANY|2022</v>
      </c>
      <c r="B65" s="1" t="s">
        <v>105</v>
      </c>
      <c r="C65" s="1">
        <v>2022</v>
      </c>
      <c r="D65" s="4">
        <v>101560000000000</v>
      </c>
      <c r="E65" s="3">
        <v>5.6376118160000002E-2</v>
      </c>
      <c r="F65" s="2">
        <v>8020000000</v>
      </c>
      <c r="G65" s="3">
        <v>8.8050314469999991E-3</v>
      </c>
      <c r="H65" s="4">
        <v>4200000000000</v>
      </c>
      <c r="I65" s="3">
        <v>-3.6697247709999999E-2</v>
      </c>
      <c r="J65" s="2">
        <v>83177813</v>
      </c>
      <c r="K65" s="3">
        <v>-2.1954159909999999E-4</v>
      </c>
      <c r="L65" s="3">
        <v>4.1354864120000001E-2</v>
      </c>
      <c r="M65" s="4">
        <v>1810000000000</v>
      </c>
      <c r="N65" s="4">
        <v>1920000000000</v>
      </c>
      <c r="O65" s="4">
        <v>110000000000</v>
      </c>
      <c r="P65" s="3">
        <v>2.6190476189999999E-2</v>
      </c>
      <c r="Q65" s="3">
        <v>0.45029999999999998</v>
      </c>
      <c r="R65" s="3">
        <v>-1.6597510369999999E-2</v>
      </c>
      <c r="S65" s="4">
        <v>1891260000000</v>
      </c>
      <c r="T65" s="3">
        <v>2.5000000000000001E-2</v>
      </c>
      <c r="U65" s="4">
        <v>47281500000</v>
      </c>
      <c r="V65" s="3">
        <v>1.12575E-2</v>
      </c>
      <c r="W65" s="3">
        <v>6.9000000000000006E-2</v>
      </c>
      <c r="X65" s="4">
        <v>50494.234559999997</v>
      </c>
      <c r="Y65" s="4">
        <v>47010.132380000003</v>
      </c>
      <c r="Z65" s="6">
        <v>0.94</v>
      </c>
      <c r="AA65" s="3">
        <v>-1.0526315790000001E-2</v>
      </c>
      <c r="AB65" s="6">
        <v>0.28999999999999998</v>
      </c>
      <c r="AC65" s="3">
        <v>-7.5862068970000002E-2</v>
      </c>
      <c r="AD65" s="6">
        <v>0.65</v>
      </c>
      <c r="AE65" s="3">
        <v>0.1838477188</v>
      </c>
      <c r="AF65" s="3">
        <v>0.1118477188</v>
      </c>
      <c r="AG65" s="3">
        <v>6.3847718750000004E-2</v>
      </c>
      <c r="AH65" s="3">
        <v>2.8847718750000001E-2</v>
      </c>
      <c r="AI65" s="3">
        <v>0.38839087500000002</v>
      </c>
      <c r="AJ65" s="6">
        <v>0.44467871530000003</v>
      </c>
      <c r="AK65" s="4">
        <v>30556.586050000002</v>
      </c>
      <c r="AL65" t="s">
        <v>52</v>
      </c>
      <c r="AM65" t="s">
        <v>104</v>
      </c>
      <c r="AN65" t="str">
        <f t="shared" si="1"/>
        <v>Good Economic Resilience with Very Good Affordability.</v>
      </c>
      <c r="AP65" t="s">
        <v>40</v>
      </c>
    </row>
    <row r="66" spans="1:42" x14ac:dyDescent="0.4">
      <c r="A66" t="str">
        <f t="shared" si="0"/>
        <v>GERMANY|2023</v>
      </c>
      <c r="B66" s="1" t="s">
        <v>105</v>
      </c>
      <c r="C66" s="1">
        <v>2023</v>
      </c>
      <c r="D66" s="4">
        <v>106800000000000</v>
      </c>
      <c r="E66" s="3">
        <v>5.1595116189999998E-2</v>
      </c>
      <c r="F66" s="2">
        <v>8090000000</v>
      </c>
      <c r="G66" s="3">
        <v>8.7281795509999999E-3</v>
      </c>
      <c r="H66" s="4">
        <v>4560000000000</v>
      </c>
      <c r="I66" s="3">
        <v>8.5714285710000004E-2</v>
      </c>
      <c r="J66" s="2">
        <v>83287273</v>
      </c>
      <c r="K66" s="3">
        <v>1.315975932E-3</v>
      </c>
      <c r="L66" s="3">
        <v>4.2696629210000003E-2</v>
      </c>
      <c r="M66" s="4">
        <v>1780000000000</v>
      </c>
      <c r="N66" s="4">
        <v>1960000000000</v>
      </c>
      <c r="O66" s="4">
        <v>180000000000</v>
      </c>
      <c r="P66" s="3">
        <v>3.9473684209999998E-2</v>
      </c>
      <c r="Q66" s="3">
        <v>0.44359999999999999</v>
      </c>
      <c r="R66" s="3">
        <v>-1.487896958E-2</v>
      </c>
      <c r="S66" s="4">
        <v>2022816000000</v>
      </c>
      <c r="T66" s="3">
        <v>4.4999999999999998E-2</v>
      </c>
      <c r="U66" s="4">
        <v>91026720000</v>
      </c>
      <c r="V66" s="3">
        <v>1.9962000000000001E-2</v>
      </c>
      <c r="W66" s="3">
        <v>5.8999999999999997E-2</v>
      </c>
      <c r="X66" s="4">
        <v>54750.261780000001</v>
      </c>
      <c r="Y66" s="4">
        <v>51519.996339999998</v>
      </c>
      <c r="Z66" s="6">
        <v>0.95</v>
      </c>
      <c r="AA66" s="3">
        <v>1.0638297870000001E-2</v>
      </c>
      <c r="AB66" s="6">
        <v>0.29399999999999998</v>
      </c>
      <c r="AC66" s="3">
        <v>1.360544218E-2</v>
      </c>
      <c r="AD66" s="6">
        <v>0.65600000000000003</v>
      </c>
      <c r="AE66" s="3">
        <v>0.188958125</v>
      </c>
      <c r="AF66" s="3">
        <v>0.116958125</v>
      </c>
      <c r="AG66" s="3">
        <v>6.8958124999999995E-2</v>
      </c>
      <c r="AH66" s="3">
        <v>3.3958124999999999E-2</v>
      </c>
      <c r="AI66" s="3">
        <v>0.40883249999999999</v>
      </c>
      <c r="AJ66" s="6">
        <v>0.47104081339999998</v>
      </c>
      <c r="AK66" s="4">
        <v>33797.117599999998</v>
      </c>
      <c r="AL66" t="s">
        <v>52</v>
      </c>
      <c r="AM66" t="s">
        <v>108</v>
      </c>
      <c r="AN66" t="str">
        <f t="shared" si="1"/>
        <v>Good Economic Resilience with Very Good Affordability.</v>
      </c>
      <c r="AP66" t="s">
        <v>40</v>
      </c>
    </row>
    <row r="67" spans="1:42" x14ac:dyDescent="0.4">
      <c r="A67" t="str">
        <f t="shared" ref="A67:A130" si="2">_xlfn.CONCAT(UPPER(B67),"|",C67)</f>
        <v>GERMANY|2024</v>
      </c>
      <c r="B67" s="1" t="s">
        <v>105</v>
      </c>
      <c r="C67" s="1">
        <v>2024</v>
      </c>
      <c r="D67" s="4">
        <v>112600000000000</v>
      </c>
      <c r="E67" s="3">
        <v>5.4307116099999997E-2</v>
      </c>
      <c r="F67" s="2">
        <v>8161972572</v>
      </c>
      <c r="G67" s="3">
        <v>8.8964860320000002E-3</v>
      </c>
      <c r="H67" s="4">
        <v>4690000000000</v>
      </c>
      <c r="I67" s="3">
        <v>2.8508771929999999E-2</v>
      </c>
      <c r="J67" s="2">
        <v>83516593</v>
      </c>
      <c r="K67" s="3">
        <v>2.7533618489999998E-3</v>
      </c>
      <c r="L67" s="3">
        <v>4.1651865009999997E-2</v>
      </c>
      <c r="M67" s="4">
        <v>1760000000000</v>
      </c>
      <c r="N67" s="4">
        <v>1940000000000</v>
      </c>
      <c r="O67" s="4">
        <v>180000000000</v>
      </c>
      <c r="P67" s="3">
        <v>3.8379530920000002E-2</v>
      </c>
      <c r="Q67" s="3">
        <v>0.43969999999999998</v>
      </c>
      <c r="R67" s="3">
        <v>-8.7917042380000008E-3</v>
      </c>
      <c r="S67" s="4">
        <v>2062193000000</v>
      </c>
      <c r="T67" s="3">
        <v>3.15E-2</v>
      </c>
      <c r="U67" s="4">
        <v>64959079500</v>
      </c>
      <c r="V67" s="3">
        <v>1.385055E-2</v>
      </c>
      <c r="W67" s="3">
        <v>2.3E-2</v>
      </c>
      <c r="X67" s="4">
        <v>56156.50533</v>
      </c>
      <c r="Y67" s="4">
        <v>54864.905709999999</v>
      </c>
      <c r="Z67" s="6">
        <v>0.95450000000000002</v>
      </c>
      <c r="AA67" s="3">
        <v>4.7368421049999998E-3</v>
      </c>
      <c r="AB67" s="6">
        <v>0.29399999999999998</v>
      </c>
      <c r="AC67" s="3">
        <v>0</v>
      </c>
      <c r="AD67" s="6">
        <v>0.66049999999999998</v>
      </c>
      <c r="AE67" s="3">
        <v>0.1943375</v>
      </c>
      <c r="AF67" s="3">
        <v>0.1223375</v>
      </c>
      <c r="AG67" s="3">
        <v>7.4337500000000001E-2</v>
      </c>
      <c r="AH67" s="3">
        <v>3.9337499999999997E-2</v>
      </c>
      <c r="AI67" s="3">
        <v>0.43035000000000001</v>
      </c>
      <c r="AJ67" s="6">
        <v>0.49653084590000002</v>
      </c>
      <c r="AK67" s="4">
        <v>36238.270219999999</v>
      </c>
      <c r="AL67" t="s">
        <v>55</v>
      </c>
      <c r="AM67" t="s">
        <v>109</v>
      </c>
      <c r="AN67" t="str">
        <f t="shared" ref="AN67:AN130" si="3">_xlfn.CONCAT(_xlfn.IFS(
AJ67&gt;=0.7,"Superb",
AJ67&gt;=0.51,"Excellent",
AJ67&gt;=0.41,"Good",
AJ67&gt;=0.31,"Satisfactory",
AJ67&gt;=0.26,"Moderate",
AJ67&gt;=0.1,"Weak",
AJ67&lt;0.1,"Very Weak"
), " Economic Resilience with ",_xlfn.IFS(
AK67&lt;=2500,"Very Weak",
AK67&lt;=5000,"Poor",
AK67&lt;=10000,"Challenging",
AK67&lt;=12500,"Border Line",
AK67&lt;=15000,"Improved",
AK67&lt;=20000,"Moderate",
AK67&lt;=25000,"Satisfactory",
AK67&lt;=30000,"Good",
AK67&lt;=35000,"Very Good",
AK67&lt;=40000,"High",
AK67&lt;=50000,"Excellent",
AK67&lt;=100000,"Superb",
AK67&gt;100000,"Superb"
), " Affordability.")</f>
        <v>Good Economic Resilience with High Affordability.</v>
      </c>
      <c r="AP67" t="s">
        <v>40</v>
      </c>
    </row>
    <row r="68" spans="1:42" x14ac:dyDescent="0.4">
      <c r="A68" t="str">
        <f t="shared" si="2"/>
        <v>GERMANY|2025</v>
      </c>
      <c r="B68" s="1" t="s">
        <v>105</v>
      </c>
      <c r="C68" s="1">
        <v>2025</v>
      </c>
      <c r="D68" s="4">
        <v>113795678000000</v>
      </c>
      <c r="E68" s="3">
        <v>1.061880995E-2</v>
      </c>
      <c r="F68" s="2">
        <v>8231613070</v>
      </c>
      <c r="G68" s="3">
        <v>8.5323121809999999E-3</v>
      </c>
      <c r="H68" s="4">
        <v>4750000000000</v>
      </c>
      <c r="I68" s="3">
        <v>1.279317697E-2</v>
      </c>
      <c r="J68" s="2">
        <v>83600000</v>
      </c>
      <c r="K68" s="3">
        <v>9.9868776969999997E-4</v>
      </c>
      <c r="L68" s="3">
        <v>4.1741479849999999E-2</v>
      </c>
      <c r="M68" s="4">
        <v>1989000000000</v>
      </c>
      <c r="N68" s="4">
        <v>2271000000000</v>
      </c>
      <c r="O68" s="4">
        <v>282000000000</v>
      </c>
      <c r="P68" s="3">
        <v>5.9368421050000002E-2</v>
      </c>
      <c r="Q68" s="3">
        <v>0.624</v>
      </c>
      <c r="R68" s="3">
        <v>0.4191494201</v>
      </c>
      <c r="S68" s="4">
        <v>2964000000000</v>
      </c>
      <c r="T68" s="3">
        <v>2.1499999999999998E-2</v>
      </c>
      <c r="U68" s="4">
        <v>63726000000</v>
      </c>
      <c r="V68" s="3">
        <v>1.3416000000000001E-2</v>
      </c>
      <c r="W68" s="3">
        <v>0.02</v>
      </c>
      <c r="X68" s="4">
        <v>56818.181819999998</v>
      </c>
      <c r="Y68" s="4">
        <v>55681.818180000002</v>
      </c>
      <c r="Z68" s="6">
        <v>0.95899999999999996</v>
      </c>
      <c r="AA68" s="3">
        <v>4.7145102150000003E-3</v>
      </c>
      <c r="AB68" s="6">
        <v>0.29399999999999998</v>
      </c>
      <c r="AC68" s="3">
        <v>0</v>
      </c>
      <c r="AD68" s="6">
        <v>0.66500000000000004</v>
      </c>
      <c r="AE68" s="3">
        <v>0.2</v>
      </c>
      <c r="AF68" s="3">
        <v>0.128</v>
      </c>
      <c r="AG68" s="3">
        <v>0.08</v>
      </c>
      <c r="AH68" s="3">
        <v>4.4999999999999998E-2</v>
      </c>
      <c r="AI68" s="3">
        <v>0.45300000000000001</v>
      </c>
      <c r="AJ68" s="6">
        <v>0.54069390090000002</v>
      </c>
      <c r="AK68" s="4">
        <v>37028.409090000001</v>
      </c>
      <c r="AL68" t="s">
        <v>55</v>
      </c>
      <c r="AM68" t="s">
        <v>110</v>
      </c>
      <c r="AN68" t="str">
        <f t="shared" si="3"/>
        <v>Excellent Economic Resilience with High Affordability.</v>
      </c>
      <c r="AO68" t="s">
        <v>312</v>
      </c>
      <c r="AP68" t="s">
        <v>40</v>
      </c>
    </row>
    <row r="69" spans="1:42" x14ac:dyDescent="0.4">
      <c r="A69" t="str">
        <f t="shared" si="2"/>
        <v>GERMANY|2026</v>
      </c>
      <c r="B69" s="1" t="s">
        <v>105</v>
      </c>
      <c r="C69" s="1">
        <v>2026</v>
      </c>
      <c r="D69" s="4">
        <v>120063810405112</v>
      </c>
      <c r="E69" s="3">
        <v>5.5082341569999999E-2</v>
      </c>
      <c r="F69" s="2">
        <v>8302201675</v>
      </c>
      <c r="G69" s="3">
        <v>8.575306441E-3</v>
      </c>
      <c r="H69" s="4">
        <v>4917376110303</v>
      </c>
      <c r="I69" s="3">
        <v>3.5237075850000001E-2</v>
      </c>
      <c r="J69" s="2">
        <v>83653516.719999999</v>
      </c>
      <c r="K69" s="3">
        <v>6.4015220849999999E-4</v>
      </c>
      <c r="L69" s="3">
        <v>4.0956355569999998E-2</v>
      </c>
      <c r="M69" s="4">
        <v>2053714285714</v>
      </c>
      <c r="N69" s="4">
        <v>2263428571429</v>
      </c>
      <c r="O69" s="4">
        <v>209714285714</v>
      </c>
      <c r="P69" s="3">
        <v>4.2647599250000001E-2</v>
      </c>
      <c r="Q69" s="3">
        <v>0.62653910560000003</v>
      </c>
      <c r="R69" s="3">
        <v>4.069079485E-3</v>
      </c>
      <c r="S69" s="4">
        <v>3080928430043</v>
      </c>
      <c r="T69" s="3">
        <v>4.1785714289999998E-2</v>
      </c>
      <c r="U69" s="4">
        <v>128738795112</v>
      </c>
      <c r="V69" s="3">
        <v>2.6180384059999999E-2</v>
      </c>
      <c r="W69" s="3">
        <v>4.3857142859999997E-2</v>
      </c>
      <c r="X69" s="4">
        <v>58782.65855</v>
      </c>
      <c r="Y69" s="4">
        <v>56204.619100000004</v>
      </c>
      <c r="Z69" s="6">
        <v>0.9610787328</v>
      </c>
      <c r="AA69" s="3">
        <v>2.1676046160000002E-3</v>
      </c>
      <c r="AB69" s="6">
        <v>0.29216701509999998</v>
      </c>
      <c r="AC69" s="3">
        <v>-6.273757213E-3</v>
      </c>
      <c r="AD69" s="6">
        <v>0.66891171770000002</v>
      </c>
      <c r="AE69" s="3">
        <v>0.2056625</v>
      </c>
      <c r="AF69" s="3">
        <v>0.13366249999999999</v>
      </c>
      <c r="AG69" s="3">
        <v>8.5662500000000003E-2</v>
      </c>
      <c r="AH69" s="3">
        <v>5.0662499999999999E-2</v>
      </c>
      <c r="AI69" s="3">
        <v>0.47565000000000002</v>
      </c>
      <c r="AJ69" s="6">
        <v>0.53307357079999995</v>
      </c>
      <c r="AK69" s="4">
        <v>37595.928310000003</v>
      </c>
      <c r="AL69" t="s">
        <v>55</v>
      </c>
      <c r="AM69" t="s">
        <v>111</v>
      </c>
      <c r="AN69" t="str">
        <f t="shared" si="3"/>
        <v>Excellent Economic Resilience with High Affordability.</v>
      </c>
      <c r="AP69" t="s">
        <v>40</v>
      </c>
    </row>
    <row r="70" spans="1:42" x14ac:dyDescent="0.4">
      <c r="A70" t="str">
        <f t="shared" si="2"/>
        <v>GERMANY|2027</v>
      </c>
      <c r="B70" s="1" t="s">
        <v>105</v>
      </c>
      <c r="C70" s="1">
        <v>2027</v>
      </c>
      <c r="D70" s="4">
        <v>125735541889780</v>
      </c>
      <c r="E70" s="3">
        <v>4.7239309379999997E-2</v>
      </c>
      <c r="F70" s="2">
        <v>8372937901</v>
      </c>
      <c r="G70" s="3">
        <v>8.5201768609999996E-3</v>
      </c>
      <c r="H70" s="4">
        <v>5073693400710</v>
      </c>
      <c r="I70" s="3">
        <v>3.1788760290000002E-2</v>
      </c>
      <c r="J70" s="2">
        <v>83727390.129999995</v>
      </c>
      <c r="K70" s="3">
        <v>8.8308781579999999E-4</v>
      </c>
      <c r="L70" s="3">
        <v>4.0352101920000001E-2</v>
      </c>
      <c r="M70" s="4">
        <v>2147535714286</v>
      </c>
      <c r="N70" s="4">
        <v>2359250000000</v>
      </c>
      <c r="O70" s="4">
        <v>211714285714</v>
      </c>
      <c r="P70" s="3">
        <v>4.1727843799999997E-2</v>
      </c>
      <c r="Q70" s="3">
        <v>0.65175762110000002</v>
      </c>
      <c r="R70" s="3">
        <v>4.0250505139999997E-2</v>
      </c>
      <c r="S70" s="4">
        <v>3306818340988</v>
      </c>
      <c r="T70" s="3">
        <v>4.773214286E-2</v>
      </c>
      <c r="U70" s="4">
        <v>157841525455</v>
      </c>
      <c r="V70" s="3">
        <v>3.110978788E-2</v>
      </c>
      <c r="W70" s="3">
        <v>4.7071428569999997E-2</v>
      </c>
      <c r="X70" s="4">
        <v>60597.773240000002</v>
      </c>
      <c r="Y70" s="4">
        <v>57745.349479999997</v>
      </c>
      <c r="Z70" s="6">
        <v>0.96386252090000002</v>
      </c>
      <c r="AA70" s="3">
        <v>2.896524471E-3</v>
      </c>
      <c r="AB70" s="6">
        <v>0.29058569760000003</v>
      </c>
      <c r="AC70" s="3">
        <v>-5.4418282009999997E-3</v>
      </c>
      <c r="AD70" s="6">
        <v>0.67327682330000005</v>
      </c>
      <c r="AE70" s="3">
        <v>0.21160812500000001</v>
      </c>
      <c r="AF70" s="3">
        <v>0.139608125</v>
      </c>
      <c r="AG70" s="3">
        <v>9.1608124999999999E-2</v>
      </c>
      <c r="AH70" s="3">
        <v>5.6608125000000002E-2</v>
      </c>
      <c r="AI70" s="3">
        <v>0.4994325</v>
      </c>
      <c r="AJ70" s="6">
        <v>0.55040265779999997</v>
      </c>
      <c r="AK70" s="4">
        <v>38878.605459999999</v>
      </c>
      <c r="AL70" t="s">
        <v>55</v>
      </c>
      <c r="AM70" t="s">
        <v>112</v>
      </c>
      <c r="AN70" t="str">
        <f t="shared" si="3"/>
        <v>Excellent Economic Resilience with High Affordability.</v>
      </c>
      <c r="AP70" t="s">
        <v>40</v>
      </c>
    </row>
    <row r="71" spans="1:42" x14ac:dyDescent="0.4">
      <c r="A71" t="str">
        <f t="shared" si="2"/>
        <v>GERMANY|2028</v>
      </c>
      <c r="B71" s="1" t="s">
        <v>105</v>
      </c>
      <c r="C71" s="1">
        <v>2028</v>
      </c>
      <c r="D71" s="4">
        <v>131237442252096</v>
      </c>
      <c r="E71" s="3">
        <v>4.375771782E-2</v>
      </c>
      <c r="F71" s="2">
        <v>8443822776</v>
      </c>
      <c r="G71" s="3">
        <v>8.465950178E-3</v>
      </c>
      <c r="H71" s="4">
        <v>5226929164705</v>
      </c>
      <c r="I71" s="3">
        <v>3.0202014959999999E-2</v>
      </c>
      <c r="J71" s="2">
        <v>83808208.090000004</v>
      </c>
      <c r="K71" s="3">
        <v>9.6525123540000003E-4</v>
      </c>
      <c r="L71" s="3">
        <v>3.9828032880000003E-2</v>
      </c>
      <c r="M71" s="4">
        <v>2241357142857</v>
      </c>
      <c r="N71" s="4">
        <v>2455071428571</v>
      </c>
      <c r="O71" s="4">
        <v>213714285714</v>
      </c>
      <c r="P71" s="3">
        <v>4.0887159360000001E-2</v>
      </c>
      <c r="Q71" s="3">
        <v>0.68563871060000003</v>
      </c>
      <c r="R71" s="3">
        <v>5.1984186109999997E-2</v>
      </c>
      <c r="S71" s="4">
        <v>3583784972696</v>
      </c>
      <c r="T71" s="3">
        <v>5.3678571430000002E-2</v>
      </c>
      <c r="U71" s="4">
        <v>192372457641</v>
      </c>
      <c r="V71" s="3">
        <v>3.6804106500000003E-2</v>
      </c>
      <c r="W71" s="3">
        <v>5.0285714289999998E-2</v>
      </c>
      <c r="X71" s="4">
        <v>62367.74755</v>
      </c>
      <c r="Y71" s="4">
        <v>59231.540809999999</v>
      </c>
      <c r="Z71" s="6">
        <v>0.96688835910000004</v>
      </c>
      <c r="AA71" s="3">
        <v>3.1392840159999999E-3</v>
      </c>
      <c r="AB71" s="6">
        <v>0.28909076929999999</v>
      </c>
      <c r="AC71" s="3">
        <v>-5.1711381899999997E-3</v>
      </c>
      <c r="AD71" s="6">
        <v>0.67779758980000004</v>
      </c>
      <c r="AE71" s="3">
        <v>0.2178510313</v>
      </c>
      <c r="AF71" s="3">
        <v>0.14585103129999999</v>
      </c>
      <c r="AG71" s="3">
        <v>9.7851031249999998E-2</v>
      </c>
      <c r="AH71" s="3">
        <v>6.2851031249999995E-2</v>
      </c>
      <c r="AI71" s="3">
        <v>0.524404125</v>
      </c>
      <c r="AJ71" s="6">
        <v>0.56831521070000002</v>
      </c>
      <c r="AK71" s="4">
        <v>40146.995600000002</v>
      </c>
      <c r="AL71" t="s">
        <v>58</v>
      </c>
      <c r="AM71" t="s">
        <v>113</v>
      </c>
      <c r="AN71" t="str">
        <f t="shared" si="3"/>
        <v>Excellent Economic Resilience with Excellent Affordability.</v>
      </c>
      <c r="AP71" t="s">
        <v>40</v>
      </c>
    </row>
    <row r="72" spans="1:42" x14ac:dyDescent="0.4">
      <c r="A72" t="str">
        <f t="shared" si="2"/>
        <v>GERMANY|2029</v>
      </c>
      <c r="B72" s="1" t="s">
        <v>105</v>
      </c>
      <c r="C72" s="1">
        <v>2029</v>
      </c>
      <c r="D72" s="4">
        <v>136712479650225</v>
      </c>
      <c r="E72" s="3">
        <v>4.1718562200000003E-2</v>
      </c>
      <c r="F72" s="2">
        <v>8514849364</v>
      </c>
      <c r="G72" s="3">
        <v>8.4116624760000001E-3</v>
      </c>
      <c r="H72" s="4">
        <v>5379731727209</v>
      </c>
      <c r="I72" s="3">
        <v>2.9233715949999999E-2</v>
      </c>
      <c r="J72" s="2">
        <v>83891508.760000005</v>
      </c>
      <c r="K72" s="3">
        <v>9.9394398920000008E-4</v>
      </c>
      <c r="L72" s="3">
        <v>3.9350699670000003E-2</v>
      </c>
      <c r="M72" s="4">
        <v>2335178571429</v>
      </c>
      <c r="N72" s="4">
        <v>2550892857143</v>
      </c>
      <c r="O72" s="4">
        <v>215714285714</v>
      </c>
      <c r="P72" s="3">
        <v>4.0097591600000003E-2</v>
      </c>
      <c r="Q72" s="3">
        <v>0.72319054490000001</v>
      </c>
      <c r="R72" s="3">
        <v>5.4769128120000003E-2</v>
      </c>
      <c r="S72" s="4">
        <v>3890571119454</v>
      </c>
      <c r="T72" s="3">
        <v>5.9624999999999997E-2</v>
      </c>
      <c r="U72" s="4">
        <v>231975302997</v>
      </c>
      <c r="V72" s="3">
        <v>4.3120236239999998E-2</v>
      </c>
      <c r="W72" s="3">
        <v>5.3499999999999999E-2</v>
      </c>
      <c r="X72" s="4">
        <v>64127.249669999997</v>
      </c>
      <c r="Y72" s="4">
        <v>60696.441809999997</v>
      </c>
      <c r="Z72" s="6">
        <v>0.97000190850000001</v>
      </c>
      <c r="AA72" s="3">
        <v>3.2201747159999999E-3</v>
      </c>
      <c r="AB72" s="6">
        <v>0.28762726280000001</v>
      </c>
      <c r="AC72" s="3">
        <v>-5.0882052200000001E-3</v>
      </c>
      <c r="AD72" s="6">
        <v>0.68237464579999996</v>
      </c>
      <c r="AE72" s="3">
        <v>0.22440608279999999</v>
      </c>
      <c r="AF72" s="3">
        <v>0.15240608280000001</v>
      </c>
      <c r="AG72" s="3">
        <v>0.10440608279999999</v>
      </c>
      <c r="AH72" s="3">
        <v>6.9406082810000005E-2</v>
      </c>
      <c r="AI72" s="3">
        <v>0.55062433129999999</v>
      </c>
      <c r="AJ72" s="6">
        <v>0.58695238630000002</v>
      </c>
      <c r="AK72" s="4">
        <v>41417.712979999997</v>
      </c>
      <c r="AL72" t="s">
        <v>58</v>
      </c>
      <c r="AM72" t="s">
        <v>114</v>
      </c>
      <c r="AN72" t="str">
        <f t="shared" si="3"/>
        <v>Excellent Economic Resilience with Excellent Affordability.</v>
      </c>
      <c r="AP72" t="s">
        <v>40</v>
      </c>
    </row>
    <row r="73" spans="1:42" x14ac:dyDescent="0.4">
      <c r="A73" t="str">
        <f t="shared" si="2"/>
        <v>GERMANY|2030</v>
      </c>
      <c r="B73" s="1" t="s">
        <v>105</v>
      </c>
      <c r="C73" s="1">
        <v>2030</v>
      </c>
      <c r="D73" s="4">
        <v>141834754671550</v>
      </c>
      <c r="E73" s="3"/>
      <c r="F73" s="2">
        <v>8586617399</v>
      </c>
      <c r="G73" s="3"/>
      <c r="H73" s="4">
        <v>5511009600601</v>
      </c>
      <c r="I73" s="3"/>
      <c r="J73" s="2">
        <v>83996431.349999994</v>
      </c>
      <c r="K73" s="3"/>
      <c r="L73" s="3">
        <v>3.8855142469999999E-2</v>
      </c>
      <c r="M73" s="4">
        <v>2429000000000</v>
      </c>
      <c r="N73" s="4">
        <v>2646714285714</v>
      </c>
      <c r="O73" s="4">
        <v>217714285714</v>
      </c>
      <c r="P73" s="3">
        <v>3.9505335949999998E-2</v>
      </c>
      <c r="Q73" s="3">
        <v>0.76254043100000002</v>
      </c>
      <c r="R73" s="3"/>
      <c r="S73" s="4">
        <v>4202367636285</v>
      </c>
      <c r="T73" s="3">
        <v>6.5571428570000007E-2</v>
      </c>
      <c r="U73" s="4">
        <v>275555249294</v>
      </c>
      <c r="V73" s="3">
        <v>5.0000865409999998E-2</v>
      </c>
      <c r="W73" s="3">
        <v>5.6714285709999999E-2</v>
      </c>
      <c r="X73" s="4">
        <v>65610.044519999996</v>
      </c>
      <c r="Y73" s="4">
        <v>61889.01771</v>
      </c>
      <c r="Z73" s="6">
        <v>0.97314915889999998</v>
      </c>
      <c r="AA73" s="3"/>
      <c r="AB73" s="6">
        <v>0.28617600770000001</v>
      </c>
      <c r="AC73" s="3"/>
      <c r="AD73" s="6">
        <v>0.68697315120000002</v>
      </c>
      <c r="AE73" s="3">
        <v>0.231288887</v>
      </c>
      <c r="AF73" s="3">
        <v>0.15928888699999999</v>
      </c>
      <c r="AG73" s="3">
        <v>0.111288887</v>
      </c>
      <c r="AH73" s="3">
        <v>7.6288886949999996E-2</v>
      </c>
      <c r="AI73" s="3">
        <v>0.5781555478</v>
      </c>
      <c r="AJ73" s="6">
        <v>0.60651516080000001</v>
      </c>
      <c r="AK73" s="4">
        <v>42516.093520000002</v>
      </c>
      <c r="AL73" t="s">
        <v>58</v>
      </c>
      <c r="AM73" t="s">
        <v>115</v>
      </c>
      <c r="AN73" t="str">
        <f t="shared" si="3"/>
        <v>Excellent Economic Resilience with Excellent Affordability.</v>
      </c>
      <c r="AP73" t="s">
        <v>40</v>
      </c>
    </row>
    <row r="74" spans="1:42" x14ac:dyDescent="0.4">
      <c r="A74" t="str">
        <f t="shared" si="2"/>
        <v>INDONESIA|2019</v>
      </c>
      <c r="B74" s="1" t="s">
        <v>117</v>
      </c>
      <c r="C74" s="1">
        <v>2019</v>
      </c>
      <c r="D74" s="4">
        <v>87700000000000</v>
      </c>
      <c r="E74" s="3"/>
      <c r="F74" s="2">
        <v>7810000000</v>
      </c>
      <c r="G74" s="3"/>
      <c r="H74" s="4">
        <v>1120000000000</v>
      </c>
      <c r="I74" s="3"/>
      <c r="J74" s="2">
        <v>272489381</v>
      </c>
      <c r="K74" s="3"/>
      <c r="L74" s="3">
        <v>1.277080958E-2</v>
      </c>
      <c r="M74" s="4">
        <v>213035000000</v>
      </c>
      <c r="N74" s="4">
        <v>208057800000</v>
      </c>
      <c r="O74" s="4">
        <v>-4977200000</v>
      </c>
      <c r="P74" s="3">
        <v>-4.4439285709999997E-3</v>
      </c>
      <c r="Q74" s="3">
        <v>0.30599999999999999</v>
      </c>
      <c r="R74" s="3"/>
      <c r="S74" s="4">
        <v>342720000000</v>
      </c>
      <c r="T74" s="3">
        <v>0.06</v>
      </c>
      <c r="U74" s="4">
        <v>20563200000</v>
      </c>
      <c r="V74" s="3">
        <v>1.8360000000000001E-2</v>
      </c>
      <c r="W74" s="3">
        <v>3.0305849999999999E-2</v>
      </c>
      <c r="X74" s="4">
        <v>4110.2519149999998</v>
      </c>
      <c r="Y74" s="4">
        <v>3985.6872370000001</v>
      </c>
      <c r="Z74" s="6">
        <v>0.71</v>
      </c>
      <c r="AA74" s="3"/>
      <c r="AB74" s="6">
        <v>0.35399999999999998</v>
      </c>
      <c r="AC74" s="3"/>
      <c r="AD74" s="6">
        <v>0.35599999999999998</v>
      </c>
      <c r="AE74" s="3">
        <v>0.15238332960000001</v>
      </c>
      <c r="AF74" s="3">
        <v>9.3833295979999995E-3</v>
      </c>
      <c r="AG74" s="3">
        <v>0.13238332959999999</v>
      </c>
      <c r="AH74" s="3">
        <v>1.23833296E-2</v>
      </c>
      <c r="AI74" s="3">
        <v>0.30653331839999998</v>
      </c>
      <c r="AJ74" s="6">
        <v>0.2965001994</v>
      </c>
      <c r="AK74" s="4">
        <v>1418.9046559999999</v>
      </c>
      <c r="AL74" t="s">
        <v>38</v>
      </c>
      <c r="AM74" t="s">
        <v>116</v>
      </c>
      <c r="AN74" t="str">
        <f t="shared" si="3"/>
        <v>Moderate Economic Resilience with Very Weak Affordability.</v>
      </c>
      <c r="AP74" t="s">
        <v>40</v>
      </c>
    </row>
    <row r="75" spans="1:42" x14ac:dyDescent="0.4">
      <c r="A75" t="str">
        <f t="shared" si="2"/>
        <v>INDONESIA|2020</v>
      </c>
      <c r="B75" s="1" t="s">
        <v>117</v>
      </c>
      <c r="C75" s="1">
        <v>2020</v>
      </c>
      <c r="D75" s="4">
        <v>84750000000000</v>
      </c>
      <c r="E75" s="3">
        <v>-3.3637400230000003E-2</v>
      </c>
      <c r="F75" s="2">
        <v>7890000000</v>
      </c>
      <c r="G75" s="3">
        <v>1.0243277849999999E-2</v>
      </c>
      <c r="H75" s="4">
        <v>1060000000000</v>
      </c>
      <c r="I75" s="3">
        <v>-5.3571428570000003E-2</v>
      </c>
      <c r="J75" s="2">
        <v>274814866</v>
      </c>
      <c r="K75" s="3">
        <v>8.5342224769999996E-3</v>
      </c>
      <c r="L75" s="3">
        <v>1.250737463E-2</v>
      </c>
      <c r="M75" s="4">
        <v>165647000000</v>
      </c>
      <c r="N75" s="4">
        <v>183546600000</v>
      </c>
      <c r="O75" s="4">
        <v>17899600000</v>
      </c>
      <c r="P75" s="3">
        <v>1.6886415089999999E-2</v>
      </c>
      <c r="Q75" s="3">
        <v>0.39700000000000002</v>
      </c>
      <c r="R75" s="3">
        <v>0.29738562089999998</v>
      </c>
      <c r="S75" s="4">
        <v>420820000000</v>
      </c>
      <c r="T75" s="3">
        <v>4.4999999999999998E-2</v>
      </c>
      <c r="U75" s="4">
        <v>18936900000</v>
      </c>
      <c r="V75" s="3">
        <v>1.7864999999999999E-2</v>
      </c>
      <c r="W75" s="3">
        <v>1.9198349999999999E-2</v>
      </c>
      <c r="X75" s="4">
        <v>3857.142139</v>
      </c>
      <c r="Y75" s="4">
        <v>3783.0913740000001</v>
      </c>
      <c r="Z75" s="6">
        <v>0.72</v>
      </c>
      <c r="AA75" s="3">
        <v>1.4084507039999999E-2</v>
      </c>
      <c r="AB75" s="6">
        <v>0.35299999999999998</v>
      </c>
      <c r="AC75" s="3">
        <v>-2.83286119E-3</v>
      </c>
      <c r="AD75" s="6">
        <v>0.36699999999999999</v>
      </c>
      <c r="AE75" s="3">
        <v>0.15641666269999999</v>
      </c>
      <c r="AF75" s="3">
        <v>1.3416662730000001E-2</v>
      </c>
      <c r="AG75" s="3">
        <v>0.1364166627</v>
      </c>
      <c r="AH75" s="3">
        <v>1.641666273E-2</v>
      </c>
      <c r="AI75" s="3">
        <v>0.32266665090000002</v>
      </c>
      <c r="AJ75" s="6">
        <v>0.33419544070000001</v>
      </c>
      <c r="AK75" s="4">
        <v>1388.394534</v>
      </c>
      <c r="AL75" t="s">
        <v>38</v>
      </c>
      <c r="AM75" t="s">
        <v>118</v>
      </c>
      <c r="AN75" t="str">
        <f t="shared" si="3"/>
        <v>Satisfactory Economic Resilience with Very Weak Affordability.</v>
      </c>
      <c r="AP75" t="s">
        <v>40</v>
      </c>
    </row>
    <row r="76" spans="1:42" x14ac:dyDescent="0.4">
      <c r="A76" t="str">
        <f t="shared" si="2"/>
        <v>INDONESIA|2021</v>
      </c>
      <c r="B76" s="1" t="s">
        <v>117</v>
      </c>
      <c r="C76" s="1">
        <v>2021</v>
      </c>
      <c r="D76" s="4">
        <v>96140000000000</v>
      </c>
      <c r="E76" s="3">
        <v>0.13439528019999999</v>
      </c>
      <c r="F76" s="2">
        <v>7950000000</v>
      </c>
      <c r="G76" s="3">
        <v>7.6045627380000001E-3</v>
      </c>
      <c r="H76" s="4">
        <v>1190000000000</v>
      </c>
      <c r="I76" s="3">
        <v>0.1226415094</v>
      </c>
      <c r="J76" s="2">
        <v>276758053</v>
      </c>
      <c r="K76" s="3">
        <v>7.0708947750000002E-3</v>
      </c>
      <c r="L76" s="3">
        <v>1.2377782400000001E-2</v>
      </c>
      <c r="M76" s="4">
        <v>222924000000</v>
      </c>
      <c r="N76" s="4">
        <v>254109500000</v>
      </c>
      <c r="O76" s="4">
        <v>31185500000</v>
      </c>
      <c r="P76" s="3">
        <v>2.6206302519999999E-2</v>
      </c>
      <c r="Q76" s="3">
        <v>0.41099999999999998</v>
      </c>
      <c r="R76" s="3">
        <v>3.5264483630000003E-2</v>
      </c>
      <c r="S76" s="4">
        <v>489090000000</v>
      </c>
      <c r="T76" s="3">
        <v>3.5000000000000003E-2</v>
      </c>
      <c r="U76" s="4">
        <v>17118150000</v>
      </c>
      <c r="V76" s="3">
        <v>1.4385E-2</v>
      </c>
      <c r="W76" s="3">
        <v>1.560079E-2</v>
      </c>
      <c r="X76" s="4">
        <v>4299.784549</v>
      </c>
      <c r="Y76" s="4">
        <v>4232.7045129999997</v>
      </c>
      <c r="Z76" s="6">
        <v>0.71</v>
      </c>
      <c r="AA76" s="3">
        <v>-1.3888888889999999E-2</v>
      </c>
      <c r="AB76" s="6">
        <v>0.35499999999999998</v>
      </c>
      <c r="AC76" s="3">
        <v>5.633802817E-3</v>
      </c>
      <c r="AD76" s="6">
        <v>0.35499999999999998</v>
      </c>
      <c r="AE76" s="3">
        <v>0.16066227659999999</v>
      </c>
      <c r="AF76" s="3">
        <v>1.7662276559999999E-2</v>
      </c>
      <c r="AG76" s="3">
        <v>0.1406622766</v>
      </c>
      <c r="AH76" s="3">
        <v>2.0662276560000001E-2</v>
      </c>
      <c r="AI76" s="3">
        <v>0.3396491063</v>
      </c>
      <c r="AJ76" s="6">
        <v>0.3638481912</v>
      </c>
      <c r="AK76" s="4">
        <v>1502.6101020000001</v>
      </c>
      <c r="AL76" t="s">
        <v>38</v>
      </c>
      <c r="AM76" t="s">
        <v>119</v>
      </c>
      <c r="AN76" t="str">
        <f t="shared" si="3"/>
        <v>Satisfactory Economic Resilience with Very Weak Affordability.</v>
      </c>
      <c r="AP76" t="s">
        <v>40</v>
      </c>
    </row>
    <row r="77" spans="1:42" x14ac:dyDescent="0.4">
      <c r="A77" t="str">
        <f t="shared" si="2"/>
        <v>INDONESIA|2022</v>
      </c>
      <c r="B77" s="1" t="s">
        <v>117</v>
      </c>
      <c r="C77" s="1">
        <v>2022</v>
      </c>
      <c r="D77" s="4">
        <v>101560000000000</v>
      </c>
      <c r="E77" s="3">
        <v>5.6376118160000002E-2</v>
      </c>
      <c r="F77" s="2">
        <v>8020000000</v>
      </c>
      <c r="G77" s="3">
        <v>8.8050314469999991E-3</v>
      </c>
      <c r="H77" s="4">
        <v>1320000000000</v>
      </c>
      <c r="I77" s="3">
        <v>0.1092436975</v>
      </c>
      <c r="J77" s="2">
        <v>278830529</v>
      </c>
      <c r="K77" s="3">
        <v>7.488403599E-3</v>
      </c>
      <c r="L77" s="3">
        <v>1.2997243009999999E-2</v>
      </c>
      <c r="M77" s="4">
        <v>276507000000</v>
      </c>
      <c r="N77" s="4">
        <v>323218200000</v>
      </c>
      <c r="O77" s="4">
        <v>46711200000</v>
      </c>
      <c r="P77" s="3">
        <v>3.5387272730000002E-2</v>
      </c>
      <c r="Q77" s="3">
        <v>0.39700000000000002</v>
      </c>
      <c r="R77" s="3">
        <v>-3.4063260339999998E-2</v>
      </c>
      <c r="S77" s="4">
        <v>524040000000</v>
      </c>
      <c r="T77" s="3">
        <v>3.5000000000000003E-2</v>
      </c>
      <c r="U77" s="4">
        <v>18341400000</v>
      </c>
      <c r="V77" s="3">
        <v>1.3894999999999999E-2</v>
      </c>
      <c r="W77" s="3">
        <v>4.2094649999999997E-2</v>
      </c>
      <c r="X77" s="4">
        <v>4734.0583710000001</v>
      </c>
      <c r="Y77" s="4">
        <v>4534.7798409999996</v>
      </c>
      <c r="Z77" s="6">
        <v>0.71</v>
      </c>
      <c r="AA77" s="3">
        <v>0</v>
      </c>
      <c r="AB77" s="6">
        <v>0.35499999999999998</v>
      </c>
      <c r="AC77" s="3">
        <v>0</v>
      </c>
      <c r="AD77" s="6">
        <v>0.35499999999999998</v>
      </c>
      <c r="AE77" s="3">
        <v>0.1651313438</v>
      </c>
      <c r="AF77" s="3">
        <v>2.2131343750000001E-2</v>
      </c>
      <c r="AG77" s="3">
        <v>0.14513134380000001</v>
      </c>
      <c r="AH77" s="3">
        <v>2.513134375E-2</v>
      </c>
      <c r="AI77" s="3">
        <v>0.35752537499999998</v>
      </c>
      <c r="AJ77" s="6">
        <v>0.39201489070000001</v>
      </c>
      <c r="AK77" s="4">
        <v>1609.8468439999999</v>
      </c>
      <c r="AL77" t="s">
        <v>38</v>
      </c>
      <c r="AM77" t="s">
        <v>120</v>
      </c>
      <c r="AN77" t="str">
        <f t="shared" si="3"/>
        <v>Satisfactory Economic Resilience with Very Weak Affordability.</v>
      </c>
      <c r="AP77" t="s">
        <v>40</v>
      </c>
    </row>
    <row r="78" spans="1:42" x14ac:dyDescent="0.4">
      <c r="A78" t="str">
        <f t="shared" si="2"/>
        <v>INDONESIA|2023</v>
      </c>
      <c r="B78" s="1" t="s">
        <v>117</v>
      </c>
      <c r="C78" s="1">
        <v>2023</v>
      </c>
      <c r="D78" s="4">
        <v>106800000000000</v>
      </c>
      <c r="E78" s="3">
        <v>5.1595116189999998E-2</v>
      </c>
      <c r="F78" s="2">
        <v>8090000000</v>
      </c>
      <c r="G78" s="3">
        <v>8.7281795509999999E-3</v>
      </c>
      <c r="H78" s="4">
        <v>1370000000000</v>
      </c>
      <c r="I78" s="3">
        <v>3.7878787880000001E-2</v>
      </c>
      <c r="J78" s="2">
        <v>281190067</v>
      </c>
      <c r="K78" s="3">
        <v>8.4622656220000002E-3</v>
      </c>
      <c r="L78" s="3">
        <v>1.282771536E-2</v>
      </c>
      <c r="M78" s="4">
        <v>268508000000</v>
      </c>
      <c r="N78" s="4">
        <v>298282100000</v>
      </c>
      <c r="O78" s="4">
        <v>29774100000</v>
      </c>
      <c r="P78" s="3">
        <v>2.173291971E-2</v>
      </c>
      <c r="Q78" s="3">
        <v>0.39200000000000002</v>
      </c>
      <c r="R78" s="3">
        <v>-1.2594458439999999E-2</v>
      </c>
      <c r="S78" s="4">
        <v>537040000000</v>
      </c>
      <c r="T78" s="3">
        <v>5.7500000000000002E-2</v>
      </c>
      <c r="U78" s="4">
        <v>30879800000</v>
      </c>
      <c r="V78" s="3">
        <v>2.2540000000000001E-2</v>
      </c>
      <c r="W78" s="5" t="s">
        <v>121</v>
      </c>
      <c r="X78" s="4">
        <v>4872.1493419999997</v>
      </c>
      <c r="Y78" s="4">
        <v>4693.3713280000002</v>
      </c>
      <c r="Z78" s="6">
        <v>0.73</v>
      </c>
      <c r="AA78" s="3">
        <v>2.8169014079999999E-2</v>
      </c>
      <c r="AB78" s="6">
        <v>0.36099999999999999</v>
      </c>
      <c r="AC78" s="3">
        <v>1.6620498609999999E-2</v>
      </c>
      <c r="AD78" s="6">
        <v>0.36899999999999999</v>
      </c>
      <c r="AE78" s="3">
        <v>0.16983562499999999</v>
      </c>
      <c r="AF78" s="3">
        <v>2.6835624999999998E-2</v>
      </c>
      <c r="AG78" s="3">
        <v>0.149835625</v>
      </c>
      <c r="AH78" s="3">
        <v>2.9835625000000001E-2</v>
      </c>
      <c r="AI78" s="3">
        <v>0.37634250000000002</v>
      </c>
      <c r="AJ78" s="6">
        <v>0.38836313509999998</v>
      </c>
      <c r="AK78" s="4">
        <v>1731.85402</v>
      </c>
      <c r="AL78" t="s">
        <v>38</v>
      </c>
      <c r="AM78" t="s">
        <v>120</v>
      </c>
      <c r="AN78" t="str">
        <f t="shared" si="3"/>
        <v>Satisfactory Economic Resilience with Very Weak Affordability.</v>
      </c>
      <c r="AP78" t="s">
        <v>40</v>
      </c>
    </row>
    <row r="79" spans="1:42" x14ac:dyDescent="0.4">
      <c r="A79" t="str">
        <f t="shared" si="2"/>
        <v>INDONESIA|2024</v>
      </c>
      <c r="B79" s="1" t="s">
        <v>117</v>
      </c>
      <c r="C79" s="1">
        <v>2024</v>
      </c>
      <c r="D79" s="4">
        <v>112600000000000</v>
      </c>
      <c r="E79" s="3">
        <v>5.4307116099999997E-2</v>
      </c>
      <c r="F79" s="2">
        <v>8161972572</v>
      </c>
      <c r="G79" s="3">
        <v>8.8964860320000002E-3</v>
      </c>
      <c r="H79" s="4">
        <v>1400000000000</v>
      </c>
      <c r="I79" s="3">
        <v>2.1897810220000001E-2</v>
      </c>
      <c r="J79" s="2">
        <v>283487931</v>
      </c>
      <c r="K79" s="3">
        <v>8.1719245080000003E-3</v>
      </c>
      <c r="L79" s="3">
        <v>1.2433392539999999E-2</v>
      </c>
      <c r="M79" s="4">
        <v>284696000000</v>
      </c>
      <c r="N79" s="4">
        <v>309745600000</v>
      </c>
      <c r="O79" s="4">
        <v>25049600000</v>
      </c>
      <c r="P79" s="3">
        <v>1.789257143E-2</v>
      </c>
      <c r="Q79" s="3">
        <v>0.38800000000000001</v>
      </c>
      <c r="R79" s="3">
        <v>-1.020408163E-2</v>
      </c>
      <c r="S79" s="4">
        <v>543200000000</v>
      </c>
      <c r="T79" s="3">
        <v>6.25E-2</v>
      </c>
      <c r="U79" s="4">
        <v>33950000000</v>
      </c>
      <c r="V79" s="3">
        <v>2.4250000000000001E-2</v>
      </c>
      <c r="W79" s="3">
        <v>2.1815129999999999E-2</v>
      </c>
      <c r="X79" s="4">
        <v>4938.4818429999996</v>
      </c>
      <c r="Y79" s="4">
        <v>4830.7482200000004</v>
      </c>
      <c r="Z79" s="6">
        <v>0.72899999999999998</v>
      </c>
      <c r="AA79" s="3">
        <v>-1.369863014E-3</v>
      </c>
      <c r="AB79" s="6">
        <v>0.34899999999999998</v>
      </c>
      <c r="AC79" s="3">
        <v>-3.438395415E-2</v>
      </c>
      <c r="AD79" s="6">
        <v>0.38</v>
      </c>
      <c r="AE79" s="3">
        <v>0.17478750000000001</v>
      </c>
      <c r="AF79" s="3">
        <v>3.1787500000000003E-2</v>
      </c>
      <c r="AG79" s="3">
        <v>0.15478749999999999</v>
      </c>
      <c r="AH79" s="3">
        <v>3.4787499999999999E-2</v>
      </c>
      <c r="AI79" s="3">
        <v>0.39615</v>
      </c>
      <c r="AJ79" s="6">
        <v>0.40222596399999999</v>
      </c>
      <c r="AK79" s="4">
        <v>1835.6843240000001</v>
      </c>
      <c r="AL79" t="s">
        <v>38</v>
      </c>
      <c r="AM79" t="s">
        <v>122</v>
      </c>
      <c r="AN79" t="str">
        <f t="shared" si="3"/>
        <v>Satisfactory Economic Resilience with Very Weak Affordability.</v>
      </c>
      <c r="AP79" t="s">
        <v>40</v>
      </c>
    </row>
    <row r="80" spans="1:42" x14ac:dyDescent="0.4">
      <c r="A80" t="str">
        <f t="shared" si="2"/>
        <v>INDONESIA|2025</v>
      </c>
      <c r="B80" s="1" t="s">
        <v>117</v>
      </c>
      <c r="C80" s="1">
        <v>2025</v>
      </c>
      <c r="D80" s="4">
        <v>113795678000000</v>
      </c>
      <c r="E80" s="3">
        <v>1.061880995E-2</v>
      </c>
      <c r="F80" s="2">
        <v>8231613070</v>
      </c>
      <c r="G80" s="3">
        <v>8.5323121809999999E-3</v>
      </c>
      <c r="H80" s="4">
        <v>1429743000000</v>
      </c>
      <c r="I80" s="3">
        <v>2.1245E-2</v>
      </c>
      <c r="J80" s="2">
        <v>285000000</v>
      </c>
      <c r="K80" s="3">
        <v>5.3338037869999997E-3</v>
      </c>
      <c r="L80" s="3">
        <v>1.256412392E-2</v>
      </c>
      <c r="M80" s="4">
        <v>283250000000</v>
      </c>
      <c r="N80" s="4">
        <v>313150000000</v>
      </c>
      <c r="O80" s="4">
        <v>29900000000</v>
      </c>
      <c r="P80" s="3">
        <v>2.091284937E-2</v>
      </c>
      <c r="Q80" s="3">
        <v>0.40499998949999999</v>
      </c>
      <c r="R80" s="3">
        <v>4.3814405950000003E-2</v>
      </c>
      <c r="S80" s="4">
        <v>579045900000</v>
      </c>
      <c r="T80" s="3">
        <v>5.5E-2</v>
      </c>
      <c r="U80" s="4">
        <v>31847524500</v>
      </c>
      <c r="V80" s="3">
        <v>2.227499942E-2</v>
      </c>
      <c r="W80" s="3">
        <v>1.8700000000000001E-2</v>
      </c>
      <c r="X80" s="4">
        <v>5016.6421049999999</v>
      </c>
      <c r="Y80" s="4">
        <v>4922.8308980000002</v>
      </c>
      <c r="Z80" s="6">
        <v>0.72799999999999998</v>
      </c>
      <c r="AA80" s="3">
        <v>-1.371742112E-3</v>
      </c>
      <c r="AB80" s="6">
        <v>0.379</v>
      </c>
      <c r="AC80" s="3">
        <v>7.9155672819999995E-2</v>
      </c>
      <c r="AD80" s="6">
        <v>0.34899999999999998</v>
      </c>
      <c r="AE80" s="3">
        <v>0.18</v>
      </c>
      <c r="AF80" s="3">
        <v>3.6999999999999998E-2</v>
      </c>
      <c r="AG80" s="3">
        <v>0.16</v>
      </c>
      <c r="AH80" s="3">
        <v>0.04</v>
      </c>
      <c r="AI80" s="3">
        <v>0.41699999999999998</v>
      </c>
      <c r="AJ80" s="6">
        <v>0.42820197389999998</v>
      </c>
      <c r="AK80" s="4">
        <v>1718.0679829999999</v>
      </c>
      <c r="AL80" t="s">
        <v>38</v>
      </c>
      <c r="AM80" t="s">
        <v>123</v>
      </c>
      <c r="AN80" t="str">
        <f t="shared" si="3"/>
        <v>Good Economic Resilience with Very Weak Affordability.</v>
      </c>
      <c r="AO80" t="s">
        <v>313</v>
      </c>
      <c r="AP80" t="s">
        <v>40</v>
      </c>
    </row>
    <row r="81" spans="1:42" x14ac:dyDescent="0.4">
      <c r="A81" t="str">
        <f t="shared" si="2"/>
        <v>INDONESIA|2026</v>
      </c>
      <c r="B81" s="1" t="s">
        <v>117</v>
      </c>
      <c r="C81" s="1">
        <v>2026</v>
      </c>
      <c r="D81" s="4">
        <v>120063810405112</v>
      </c>
      <c r="E81" s="3">
        <v>5.5082341569999999E-2</v>
      </c>
      <c r="F81" s="2">
        <v>8302201675</v>
      </c>
      <c r="G81" s="3">
        <v>8.575306441E-3</v>
      </c>
      <c r="H81" s="4">
        <v>1508553792545</v>
      </c>
      <c r="I81" s="3">
        <v>5.5122348940000003E-2</v>
      </c>
      <c r="J81" s="2">
        <v>287275984.39999998</v>
      </c>
      <c r="K81" s="3">
        <v>7.9859101909999994E-3</v>
      </c>
      <c r="L81" s="3">
        <v>1.2564600340000001E-2</v>
      </c>
      <c r="M81" s="4">
        <v>315556285714</v>
      </c>
      <c r="N81" s="4">
        <v>357422428571</v>
      </c>
      <c r="O81" s="4">
        <v>41866142857</v>
      </c>
      <c r="P81" s="3">
        <v>2.7752502469999999E-2</v>
      </c>
      <c r="Q81" s="3">
        <v>0.4244294401</v>
      </c>
      <c r="R81" s="3">
        <v>4.7973953280000002E-2</v>
      </c>
      <c r="S81" s="4">
        <v>640274641509</v>
      </c>
      <c r="T81" s="3">
        <v>5.6071428569999998E-2</v>
      </c>
      <c r="U81" s="4">
        <v>35901113827</v>
      </c>
      <c r="V81" s="3">
        <v>2.3798365030000001E-2</v>
      </c>
      <c r="W81" s="3">
        <v>2.5131104290000001E-2</v>
      </c>
      <c r="X81" s="4">
        <v>5251.2353080000003</v>
      </c>
      <c r="Y81" s="4">
        <v>5119.2659659999999</v>
      </c>
      <c r="Z81" s="6">
        <v>0.73191160649999998</v>
      </c>
      <c r="AA81" s="3">
        <v>5.3730858539999997E-3</v>
      </c>
      <c r="AB81" s="6">
        <v>0.37574171960000002</v>
      </c>
      <c r="AC81" s="3">
        <v>-8.6715958849999993E-3</v>
      </c>
      <c r="AD81" s="6">
        <v>0.35616988690000001</v>
      </c>
      <c r="AE81" s="3">
        <v>0.1852125</v>
      </c>
      <c r="AF81" s="3">
        <v>4.22125E-2</v>
      </c>
      <c r="AG81" s="3">
        <v>0.16521250000000001</v>
      </c>
      <c r="AH81" s="3">
        <v>4.5212500000000003E-2</v>
      </c>
      <c r="AI81" s="3">
        <v>0.43785000000000002</v>
      </c>
      <c r="AJ81" s="6">
        <v>0.45436873779999998</v>
      </c>
      <c r="AK81" s="4">
        <v>1823.3283799999999</v>
      </c>
      <c r="AL81" t="s">
        <v>38</v>
      </c>
      <c r="AM81" t="s">
        <v>124</v>
      </c>
      <c r="AN81" t="str">
        <f t="shared" si="3"/>
        <v>Good Economic Resilience with Very Weak Affordability.</v>
      </c>
      <c r="AP81" t="s">
        <v>40</v>
      </c>
    </row>
    <row r="82" spans="1:42" x14ac:dyDescent="0.4">
      <c r="A82" t="str">
        <f t="shared" si="2"/>
        <v>INDONESIA|2027</v>
      </c>
      <c r="B82" s="1" t="s">
        <v>117</v>
      </c>
      <c r="C82" s="1">
        <v>2027</v>
      </c>
      <c r="D82" s="4">
        <v>125735541889780</v>
      </c>
      <c r="E82" s="3">
        <v>4.7239309379999997E-2</v>
      </c>
      <c r="F82" s="2">
        <v>8372937901</v>
      </c>
      <c r="G82" s="3">
        <v>8.5201768609999996E-3</v>
      </c>
      <c r="H82" s="4">
        <v>1578641747568</v>
      </c>
      <c r="I82" s="3">
        <v>4.6460361819999997E-2</v>
      </c>
      <c r="J82" s="2">
        <v>289457500.10000002</v>
      </c>
      <c r="K82" s="3">
        <v>7.5937977310000003E-3</v>
      </c>
      <c r="L82" s="3">
        <v>1.255525465E-2</v>
      </c>
      <c r="M82" s="4">
        <v>333210821429</v>
      </c>
      <c r="N82" s="4">
        <v>379274114286</v>
      </c>
      <c r="O82" s="4">
        <v>46063292857</v>
      </c>
      <c r="P82" s="3">
        <v>2.917906671E-2</v>
      </c>
      <c r="Q82" s="3">
        <v>0.43967996069999998</v>
      </c>
      <c r="R82" s="3">
        <v>3.5931816110000001E-2</v>
      </c>
      <c r="S82" s="4">
        <v>694097141492</v>
      </c>
      <c r="T82" s="3">
        <v>5.758928571E-2</v>
      </c>
      <c r="U82" s="4">
        <v>39972558595</v>
      </c>
      <c r="V82" s="3">
        <v>2.532085488E-2</v>
      </c>
      <c r="W82" s="3">
        <v>2.4827857500000002E-2</v>
      </c>
      <c r="X82" s="4">
        <v>5453.7945879999997</v>
      </c>
      <c r="Y82" s="4">
        <v>5318.3885529999998</v>
      </c>
      <c r="Z82" s="6">
        <v>0.7353755917</v>
      </c>
      <c r="AA82" s="3">
        <v>4.732791662E-3</v>
      </c>
      <c r="AB82" s="6">
        <v>0.37670713030000003</v>
      </c>
      <c r="AC82" s="3">
        <v>2.5627617600000002E-3</v>
      </c>
      <c r="AD82" s="6">
        <v>0.35866846140000003</v>
      </c>
      <c r="AE82" s="3">
        <v>0.190685625</v>
      </c>
      <c r="AF82" s="3">
        <v>4.7685625000000002E-2</v>
      </c>
      <c r="AG82" s="3">
        <v>0.17068562500000001</v>
      </c>
      <c r="AH82" s="3">
        <v>5.0685624999999998E-2</v>
      </c>
      <c r="AI82" s="3">
        <v>0.4597425</v>
      </c>
      <c r="AJ82" s="6">
        <v>0.47615596650000003</v>
      </c>
      <c r="AK82" s="4">
        <v>1907.538239</v>
      </c>
      <c r="AL82" t="s">
        <v>38</v>
      </c>
      <c r="AM82" t="s">
        <v>125</v>
      </c>
      <c r="AN82" t="str">
        <f t="shared" si="3"/>
        <v>Good Economic Resilience with Very Weak Affordability.</v>
      </c>
      <c r="AP82" t="s">
        <v>40</v>
      </c>
    </row>
    <row r="83" spans="1:42" x14ac:dyDescent="0.4">
      <c r="A83" t="str">
        <f t="shared" si="2"/>
        <v>INDONESIA|2028</v>
      </c>
      <c r="B83" s="1" t="s">
        <v>117</v>
      </c>
      <c r="C83" s="1">
        <v>2028</v>
      </c>
      <c r="D83" s="4">
        <v>131237442252096</v>
      </c>
      <c r="E83" s="3">
        <v>4.375771782E-2</v>
      </c>
      <c r="F83" s="2">
        <v>8443822776</v>
      </c>
      <c r="G83" s="3">
        <v>8.465950178E-3</v>
      </c>
      <c r="H83" s="4">
        <v>1646137802725</v>
      </c>
      <c r="I83" s="3">
        <v>4.27557774E-2</v>
      </c>
      <c r="J83" s="2">
        <v>291609269.30000001</v>
      </c>
      <c r="K83" s="3">
        <v>7.4338000110000003E-3</v>
      </c>
      <c r="L83" s="3">
        <v>1.254320242E-2</v>
      </c>
      <c r="M83" s="4">
        <v>350865357143</v>
      </c>
      <c r="N83" s="4">
        <v>401125800000</v>
      </c>
      <c r="O83" s="4">
        <v>50260442857</v>
      </c>
      <c r="P83" s="3">
        <v>3.053234229E-2</v>
      </c>
      <c r="Q83" s="3">
        <v>0.45354591999999999</v>
      </c>
      <c r="R83" s="3">
        <v>3.1536482269999999E-2</v>
      </c>
      <c r="S83" s="4">
        <v>746599084117</v>
      </c>
      <c r="T83" s="3">
        <v>5.9107142860000003E-2</v>
      </c>
      <c r="U83" s="4">
        <v>44129338722</v>
      </c>
      <c r="V83" s="3">
        <v>2.680780348E-2</v>
      </c>
      <c r="W83" s="3">
        <v>2.4524610709999999E-2</v>
      </c>
      <c r="X83" s="4">
        <v>5645.0119249999998</v>
      </c>
      <c r="Y83" s="4">
        <v>5506.5702060000003</v>
      </c>
      <c r="Z83" s="6">
        <v>0.73868910259999998</v>
      </c>
      <c r="AA83" s="3">
        <v>4.5058756729999998E-3</v>
      </c>
      <c r="AB83" s="6">
        <v>0.3791232866</v>
      </c>
      <c r="AC83" s="3">
        <v>6.373009596E-3</v>
      </c>
      <c r="AD83" s="6">
        <v>0.35956581599999998</v>
      </c>
      <c r="AE83" s="3">
        <v>0.1964324063</v>
      </c>
      <c r="AF83" s="3">
        <v>5.3432406250000002E-2</v>
      </c>
      <c r="AG83" s="3">
        <v>0.17643240630000001</v>
      </c>
      <c r="AH83" s="3">
        <v>5.6432406249999997E-2</v>
      </c>
      <c r="AI83" s="3">
        <v>0.482729625</v>
      </c>
      <c r="AJ83" s="6">
        <v>0.49899736620000001</v>
      </c>
      <c r="AK83" s="4">
        <v>1979.9744089999999</v>
      </c>
      <c r="AL83" t="s">
        <v>38</v>
      </c>
      <c r="AM83" t="s">
        <v>126</v>
      </c>
      <c r="AN83" t="str">
        <f t="shared" si="3"/>
        <v>Good Economic Resilience with Very Weak Affordability.</v>
      </c>
      <c r="AP83" t="s">
        <v>40</v>
      </c>
    </row>
    <row r="84" spans="1:42" x14ac:dyDescent="0.4">
      <c r="A84" t="str">
        <f t="shared" si="2"/>
        <v>INDONESIA|2029</v>
      </c>
      <c r="B84" s="1" t="s">
        <v>117</v>
      </c>
      <c r="C84" s="1">
        <v>2029</v>
      </c>
      <c r="D84" s="4">
        <v>136712479650225</v>
      </c>
      <c r="E84" s="3">
        <v>4.1718562200000003E-2</v>
      </c>
      <c r="F84" s="2">
        <v>8514849364</v>
      </c>
      <c r="G84" s="3">
        <v>8.4116624760000001E-3</v>
      </c>
      <c r="H84" s="4">
        <v>1713101714869</v>
      </c>
      <c r="I84" s="3">
        <v>4.0679408510000001E-2</v>
      </c>
      <c r="J84" s="2">
        <v>293752720.19999999</v>
      </c>
      <c r="K84" s="3">
        <v>7.350421163E-3</v>
      </c>
      <c r="L84" s="3">
        <v>1.25306901E-2</v>
      </c>
      <c r="M84" s="4">
        <v>368519892857</v>
      </c>
      <c r="N84" s="4">
        <v>422977485714</v>
      </c>
      <c r="O84" s="4">
        <v>54457592857</v>
      </c>
      <c r="P84" s="3">
        <v>3.1788884679999997E-2</v>
      </c>
      <c r="Q84" s="3">
        <v>0.466981221</v>
      </c>
      <c r="R84" s="3">
        <v>2.9622802149999999E-2</v>
      </c>
      <c r="S84" s="4">
        <v>799986330529</v>
      </c>
      <c r="T84" s="3">
        <v>6.0624999999999998E-2</v>
      </c>
      <c r="U84" s="4">
        <v>48499171288</v>
      </c>
      <c r="V84" s="3">
        <v>2.8310736520000001E-2</v>
      </c>
      <c r="W84" s="3">
        <v>2.422136393E-2</v>
      </c>
      <c r="X84" s="4">
        <v>5831.7816210000001</v>
      </c>
      <c r="Y84" s="4">
        <v>5690.527916</v>
      </c>
      <c r="Z84" s="6">
        <v>0.74195101760000004</v>
      </c>
      <c r="AA84" s="3">
        <v>4.4158157900000003E-3</v>
      </c>
      <c r="AB84" s="6">
        <v>0.3820606781</v>
      </c>
      <c r="AC84" s="3">
        <v>7.6882852680000002E-3</v>
      </c>
      <c r="AD84" s="6">
        <v>0.35989033949999999</v>
      </c>
      <c r="AE84" s="3">
        <v>0.2024665266</v>
      </c>
      <c r="AF84" s="3">
        <v>5.9466526560000003E-2</v>
      </c>
      <c r="AG84" s="3">
        <v>0.18246652660000001</v>
      </c>
      <c r="AH84" s="3">
        <v>6.2466526559999999E-2</v>
      </c>
      <c r="AI84" s="3">
        <v>0.50686610629999995</v>
      </c>
      <c r="AJ84" s="6">
        <v>0.52287494450000005</v>
      </c>
      <c r="AK84" s="4">
        <v>2047.9660240000001</v>
      </c>
      <c r="AL84" t="s">
        <v>38</v>
      </c>
      <c r="AM84" t="s">
        <v>127</v>
      </c>
      <c r="AN84" t="str">
        <f t="shared" si="3"/>
        <v>Excellent Economic Resilience with Very Weak Affordability.</v>
      </c>
      <c r="AP84" t="s">
        <v>40</v>
      </c>
    </row>
    <row r="85" spans="1:42" x14ac:dyDescent="0.4">
      <c r="A85" t="str">
        <f t="shared" si="2"/>
        <v>INDONESIA|2030</v>
      </c>
      <c r="B85" s="1" t="s">
        <v>117</v>
      </c>
      <c r="C85" s="1">
        <v>2030</v>
      </c>
      <c r="D85" s="4">
        <v>141834754671550</v>
      </c>
      <c r="E85" s="3"/>
      <c r="F85" s="2">
        <v>8586617399</v>
      </c>
      <c r="G85" s="3"/>
      <c r="H85" s="4">
        <v>1777491512403</v>
      </c>
      <c r="I85" s="3"/>
      <c r="J85" s="2">
        <v>295882434.69999999</v>
      </c>
      <c r="K85" s="3"/>
      <c r="L85" s="3">
        <v>1.253212949E-2</v>
      </c>
      <c r="M85" s="4">
        <v>386174428571</v>
      </c>
      <c r="N85" s="4">
        <v>444829171429</v>
      </c>
      <c r="O85" s="4">
        <v>58654742857</v>
      </c>
      <c r="P85" s="3">
        <v>3.2998606430000001E-2</v>
      </c>
      <c r="Q85" s="3">
        <v>0.48032333249999998</v>
      </c>
      <c r="R85" s="3"/>
      <c r="S85" s="4">
        <v>853770646815</v>
      </c>
      <c r="T85" s="3">
        <v>6.214285714E-2</v>
      </c>
      <c r="U85" s="4">
        <v>53055747338</v>
      </c>
      <c r="V85" s="3">
        <v>2.9848664239999999E-2</v>
      </c>
      <c r="W85" s="3">
        <v>2.391811714E-2</v>
      </c>
      <c r="X85" s="4">
        <v>6007.4249220000002</v>
      </c>
      <c r="Y85" s="4">
        <v>5863.7386290000004</v>
      </c>
      <c r="Z85" s="6">
        <v>0.74519576430000001</v>
      </c>
      <c r="AA85" s="3"/>
      <c r="AB85" s="6">
        <v>0.38519370450000001</v>
      </c>
      <c r="AC85" s="3"/>
      <c r="AD85" s="6">
        <v>0.3600020598</v>
      </c>
      <c r="AE85" s="3">
        <v>0.20880235289999999</v>
      </c>
      <c r="AF85" s="3">
        <v>6.5802352889999999E-2</v>
      </c>
      <c r="AG85" s="3">
        <v>0.1888023529</v>
      </c>
      <c r="AH85" s="3">
        <v>6.8802352890000001E-2</v>
      </c>
      <c r="AI85" s="3">
        <v>0.53220941160000002</v>
      </c>
      <c r="AJ85" s="6">
        <v>0.54789148330000004</v>
      </c>
      <c r="AK85" s="4">
        <v>2110.957985</v>
      </c>
      <c r="AL85" t="s">
        <v>38</v>
      </c>
      <c r="AM85" t="s">
        <v>128</v>
      </c>
      <c r="AN85" t="str">
        <f t="shared" si="3"/>
        <v>Excellent Economic Resilience with Very Weak Affordability.</v>
      </c>
      <c r="AP85" t="s">
        <v>40</v>
      </c>
    </row>
    <row r="86" spans="1:42" x14ac:dyDescent="0.4">
      <c r="A86" t="str">
        <f t="shared" si="2"/>
        <v>BRAZIL|2019</v>
      </c>
      <c r="B86" s="1" t="s">
        <v>130</v>
      </c>
      <c r="C86" s="1">
        <v>2019</v>
      </c>
      <c r="D86" s="4">
        <v>87700000000000</v>
      </c>
      <c r="E86" s="3"/>
      <c r="F86" s="2">
        <v>7810000000</v>
      </c>
      <c r="G86" s="3"/>
      <c r="H86" s="4">
        <v>1873288000000</v>
      </c>
      <c r="I86" s="3"/>
      <c r="J86" s="2">
        <v>207455459</v>
      </c>
      <c r="K86" s="3"/>
      <c r="L86" s="3">
        <v>2.136018244E-2</v>
      </c>
      <c r="M86" s="4">
        <v>276634800000</v>
      </c>
      <c r="N86" s="4">
        <v>264563000000</v>
      </c>
      <c r="O86" s="4">
        <v>-12071800000</v>
      </c>
      <c r="P86" s="3">
        <v>-6.4441772969999998E-3</v>
      </c>
      <c r="Q86" s="3">
        <v>0.92600000000000005</v>
      </c>
      <c r="R86" s="3"/>
      <c r="S86" s="4">
        <v>1734664688000</v>
      </c>
      <c r="T86" s="3">
        <v>6.5000000000000002E-2</v>
      </c>
      <c r="U86" s="4">
        <v>112753204720</v>
      </c>
      <c r="V86" s="3">
        <v>6.019E-2</v>
      </c>
      <c r="W86" s="3">
        <v>3.7329759999999997E-2</v>
      </c>
      <c r="X86" s="4">
        <v>9029.8322779999999</v>
      </c>
      <c r="Y86" s="4">
        <v>8692.7508070000003</v>
      </c>
      <c r="Z86" s="6">
        <v>0.77600000000000002</v>
      </c>
      <c r="AA86" s="3"/>
      <c r="AB86" s="6">
        <v>0.53500000000000003</v>
      </c>
      <c r="AC86" s="3"/>
      <c r="AD86" s="6">
        <v>0.24099999999999999</v>
      </c>
      <c r="AE86" s="3">
        <v>8.304559987E-2</v>
      </c>
      <c r="AF86" s="3">
        <v>6.704559987E-2</v>
      </c>
      <c r="AG86" s="3">
        <v>7.6045599869999994E-2</v>
      </c>
      <c r="AH86" s="3">
        <v>7.3045599870000005E-2</v>
      </c>
      <c r="AI86" s="3">
        <v>0.29918239949999997</v>
      </c>
      <c r="AJ86" s="6">
        <v>0.25390840460000003</v>
      </c>
      <c r="AK86" s="4">
        <v>2094.9529440000001</v>
      </c>
      <c r="AL86" t="s">
        <v>38</v>
      </c>
      <c r="AM86" t="s">
        <v>129</v>
      </c>
      <c r="AN86" t="str">
        <f t="shared" si="3"/>
        <v>Weak Economic Resilience with Very Weak Affordability.</v>
      </c>
      <c r="AP86" t="s">
        <v>40</v>
      </c>
    </row>
    <row r="87" spans="1:42" x14ac:dyDescent="0.4">
      <c r="A87" t="str">
        <f t="shared" si="2"/>
        <v>BRAZIL|2020</v>
      </c>
      <c r="B87" s="1" t="s">
        <v>130</v>
      </c>
      <c r="C87" s="1">
        <v>2020</v>
      </c>
      <c r="D87" s="4">
        <v>84750000000000</v>
      </c>
      <c r="E87" s="3">
        <v>-3.3637400230000003E-2</v>
      </c>
      <c r="F87" s="2">
        <v>7890000000</v>
      </c>
      <c r="G87" s="3">
        <v>1.0243277849999999E-2</v>
      </c>
      <c r="H87" s="4">
        <v>1476107000000</v>
      </c>
      <c r="I87" s="3">
        <v>-0.21202345819999999</v>
      </c>
      <c r="J87" s="2">
        <v>208660842</v>
      </c>
      <c r="K87" s="3">
        <v>5.810321916E-3</v>
      </c>
      <c r="L87" s="3">
        <v>1.7417191740000001E-2</v>
      </c>
      <c r="M87" s="4">
        <v>233941300000</v>
      </c>
      <c r="N87" s="4">
        <v>242872100000</v>
      </c>
      <c r="O87" s="4">
        <v>8930800000</v>
      </c>
      <c r="P87" s="3">
        <v>6.0502389049999997E-3</v>
      </c>
      <c r="Q87" s="3">
        <v>0.98699999999999999</v>
      </c>
      <c r="R87" s="3">
        <v>6.5874730019999994E-2</v>
      </c>
      <c r="S87" s="4">
        <v>1456917609000</v>
      </c>
      <c r="T87" s="3">
        <v>0.02</v>
      </c>
      <c r="U87" s="4">
        <v>29138352180</v>
      </c>
      <c r="V87" s="3">
        <v>1.9740000000000001E-2</v>
      </c>
      <c r="W87" s="3">
        <v>3.2117680000000003E-2</v>
      </c>
      <c r="X87" s="4">
        <v>7074.1926750000002</v>
      </c>
      <c r="Y87" s="4">
        <v>6846.9860179999996</v>
      </c>
      <c r="Z87" s="6">
        <v>0.77</v>
      </c>
      <c r="AA87" s="3">
        <v>-7.7319587629999997E-3</v>
      </c>
      <c r="AB87" s="6">
        <v>0.48899999999999999</v>
      </c>
      <c r="AC87" s="3">
        <v>-9.4069529649999997E-2</v>
      </c>
      <c r="AD87" s="6">
        <v>0.28100000000000003</v>
      </c>
      <c r="AE87" s="3">
        <v>8.6982210389999995E-2</v>
      </c>
      <c r="AF87" s="3">
        <v>7.0982210389999995E-2</v>
      </c>
      <c r="AG87" s="3">
        <v>7.9982210390000003E-2</v>
      </c>
      <c r="AH87" s="3">
        <v>7.698221039E-2</v>
      </c>
      <c r="AI87" s="3">
        <v>0.31492884160000001</v>
      </c>
      <c r="AJ87" s="6">
        <v>0.31865627219999998</v>
      </c>
      <c r="AK87" s="4">
        <v>1924.0030710000001</v>
      </c>
      <c r="AL87" t="s">
        <v>38</v>
      </c>
      <c r="AM87" t="s">
        <v>131</v>
      </c>
      <c r="AN87" t="str">
        <f t="shared" si="3"/>
        <v>Satisfactory Economic Resilience with Very Weak Affordability.</v>
      </c>
      <c r="AP87" t="s">
        <v>40</v>
      </c>
    </row>
    <row r="88" spans="1:42" x14ac:dyDescent="0.4">
      <c r="A88" t="str">
        <f t="shared" si="2"/>
        <v>BRAZIL|2021</v>
      </c>
      <c r="B88" s="1" t="s">
        <v>130</v>
      </c>
      <c r="C88" s="1">
        <v>2021</v>
      </c>
      <c r="D88" s="4">
        <v>96140000000000</v>
      </c>
      <c r="E88" s="3">
        <v>0.13439528019999999</v>
      </c>
      <c r="F88" s="2">
        <v>7950000000</v>
      </c>
      <c r="G88" s="3">
        <v>7.6045627380000001E-3</v>
      </c>
      <c r="H88" s="4">
        <v>1670647000000</v>
      </c>
      <c r="I88" s="3">
        <v>0.131792614</v>
      </c>
      <c r="J88" s="2">
        <v>209550294</v>
      </c>
      <c r="K88" s="3">
        <v>4.2626685080000004E-3</v>
      </c>
      <c r="L88" s="3">
        <v>1.7377231119999999E-2</v>
      </c>
      <c r="M88" s="4">
        <v>309853300000</v>
      </c>
      <c r="N88" s="4">
        <v>319251200000</v>
      </c>
      <c r="O88" s="4">
        <v>9397900000</v>
      </c>
      <c r="P88" s="3">
        <v>5.6253056450000002E-3</v>
      </c>
      <c r="Q88" s="3">
        <v>0.85</v>
      </c>
      <c r="R88" s="3">
        <v>-0.13880445799999999</v>
      </c>
      <c r="S88" s="4">
        <v>1420049950000</v>
      </c>
      <c r="T88" s="3">
        <v>9.2499999999999999E-2</v>
      </c>
      <c r="U88" s="4">
        <v>131354620375</v>
      </c>
      <c r="V88" s="3">
        <v>7.8625E-2</v>
      </c>
      <c r="W88" s="3">
        <v>8.3016599999999996E-2</v>
      </c>
      <c r="X88" s="4">
        <v>7972.5347460000003</v>
      </c>
      <c r="Y88" s="4">
        <v>7310.6820180000004</v>
      </c>
      <c r="Z88" s="6">
        <v>0.76800000000000002</v>
      </c>
      <c r="AA88" s="3">
        <v>-2.5974025970000002E-3</v>
      </c>
      <c r="AB88" s="6">
        <v>0.52900000000000003</v>
      </c>
      <c r="AC88" s="3">
        <v>7.5614366729999993E-2</v>
      </c>
      <c r="AD88" s="6">
        <v>0.23899999999999999</v>
      </c>
      <c r="AE88" s="3">
        <v>9.1126010940000002E-2</v>
      </c>
      <c r="AF88" s="3">
        <v>7.5126010940000001E-2</v>
      </c>
      <c r="AG88" s="3">
        <v>8.4126010939999996E-2</v>
      </c>
      <c r="AH88" s="3">
        <v>8.1126010940000007E-2</v>
      </c>
      <c r="AI88" s="3">
        <v>0.33150404379999998</v>
      </c>
      <c r="AJ88" s="6">
        <v>0.2758815805</v>
      </c>
      <c r="AK88" s="4">
        <v>1747.2530019999999</v>
      </c>
      <c r="AL88" t="s">
        <v>38</v>
      </c>
      <c r="AM88" t="s">
        <v>132</v>
      </c>
      <c r="AN88" t="str">
        <f t="shared" si="3"/>
        <v>Moderate Economic Resilience with Very Weak Affordability.</v>
      </c>
      <c r="AP88" t="s">
        <v>40</v>
      </c>
    </row>
    <row r="89" spans="1:42" x14ac:dyDescent="0.4">
      <c r="A89" t="str">
        <f t="shared" si="2"/>
        <v>BRAZIL|2022</v>
      </c>
      <c r="B89" s="1" t="s">
        <v>130</v>
      </c>
      <c r="C89" s="1">
        <v>2022</v>
      </c>
      <c r="D89" s="4">
        <v>101560000000000</v>
      </c>
      <c r="E89" s="3">
        <v>5.6376118160000002E-2</v>
      </c>
      <c r="F89" s="2">
        <v>8020000000</v>
      </c>
      <c r="G89" s="3">
        <v>8.8050314469999991E-3</v>
      </c>
      <c r="H89" s="4">
        <v>1951924000000</v>
      </c>
      <c r="I89" s="3">
        <v>0.16836411279999999</v>
      </c>
      <c r="J89" s="2">
        <v>210306415</v>
      </c>
      <c r="K89" s="3">
        <v>3.6083032170000002E-3</v>
      </c>
      <c r="L89" s="3">
        <v>1.921941709E-2</v>
      </c>
      <c r="M89" s="4">
        <v>374482500000</v>
      </c>
      <c r="N89" s="4">
        <v>383177600000</v>
      </c>
      <c r="O89" s="4">
        <v>8695100000</v>
      </c>
      <c r="P89" s="3">
        <v>4.4546304060000003E-3</v>
      </c>
      <c r="Q89" s="3">
        <v>0.79100000000000004</v>
      </c>
      <c r="R89" s="3">
        <v>-6.9411764710000004E-2</v>
      </c>
      <c r="S89" s="4">
        <v>1543971884000</v>
      </c>
      <c r="T89" s="3">
        <v>0.13750000000000001</v>
      </c>
      <c r="U89" s="4">
        <v>212296134050</v>
      </c>
      <c r="V89" s="3">
        <v>0.1087625</v>
      </c>
      <c r="W89" s="3">
        <v>9.2801060000000005E-2</v>
      </c>
      <c r="X89" s="4">
        <v>9281.3336199999994</v>
      </c>
      <c r="Y89" s="4">
        <v>8420.0160219999998</v>
      </c>
      <c r="Z89" s="6">
        <v>0.78</v>
      </c>
      <c r="AA89" s="3">
        <v>1.5625E-2</v>
      </c>
      <c r="AB89" s="6">
        <v>0.52</v>
      </c>
      <c r="AC89" s="3">
        <v>-1.7307692310000001E-2</v>
      </c>
      <c r="AD89" s="6">
        <v>0.26</v>
      </c>
      <c r="AE89" s="3">
        <v>9.5487906250000004E-2</v>
      </c>
      <c r="AF89" s="3">
        <v>7.9487906250000004E-2</v>
      </c>
      <c r="AG89" s="3">
        <v>8.8487906249999998E-2</v>
      </c>
      <c r="AH89" s="3">
        <v>8.5487906249999995E-2</v>
      </c>
      <c r="AI89" s="3">
        <v>0.34895162499999999</v>
      </c>
      <c r="AJ89" s="6">
        <v>0.26386317250000002</v>
      </c>
      <c r="AK89" s="4">
        <v>2189.204166</v>
      </c>
      <c r="AL89" t="s">
        <v>38</v>
      </c>
      <c r="AM89" t="s">
        <v>133</v>
      </c>
      <c r="AN89" t="str">
        <f t="shared" si="3"/>
        <v>Moderate Economic Resilience with Very Weak Affordability.</v>
      </c>
      <c r="AP89" t="s">
        <v>40</v>
      </c>
    </row>
    <row r="90" spans="1:42" x14ac:dyDescent="0.4">
      <c r="A90" t="str">
        <f t="shared" si="2"/>
        <v>BRAZIL|2023</v>
      </c>
      <c r="B90" s="1" t="s">
        <v>130</v>
      </c>
      <c r="C90" s="1">
        <v>2023</v>
      </c>
      <c r="D90" s="4">
        <v>106800000000000</v>
      </c>
      <c r="E90" s="3">
        <v>5.1595116189999998E-2</v>
      </c>
      <c r="F90" s="2">
        <v>8090000000</v>
      </c>
      <c r="G90" s="3">
        <v>8.7281795509999999E-3</v>
      </c>
      <c r="H90" s="4">
        <v>2191132000000</v>
      </c>
      <c r="I90" s="3">
        <v>0.12254985340000001</v>
      </c>
      <c r="J90" s="2">
        <v>211140729</v>
      </c>
      <c r="K90" s="3">
        <v>3.9671352870000003E-3</v>
      </c>
      <c r="L90" s="3">
        <v>2.0516217230000001E-2</v>
      </c>
      <c r="M90" s="4">
        <v>343939900000</v>
      </c>
      <c r="N90" s="4">
        <v>393731600000</v>
      </c>
      <c r="O90" s="4">
        <v>49791700000</v>
      </c>
      <c r="P90" s="3">
        <v>2.2724190049999999E-2</v>
      </c>
      <c r="Q90" s="3">
        <v>0.83</v>
      </c>
      <c r="R90" s="3">
        <v>4.9304677620000001E-2</v>
      </c>
      <c r="S90" s="4">
        <v>1818639560000</v>
      </c>
      <c r="T90" s="3">
        <v>0.11749999999999999</v>
      </c>
      <c r="U90" s="4">
        <v>213690148300</v>
      </c>
      <c r="V90" s="3">
        <v>9.7525000000000001E-2</v>
      </c>
      <c r="W90" s="3">
        <v>4.5935629999999998E-2</v>
      </c>
      <c r="X90" s="4">
        <v>10377.590389999999</v>
      </c>
      <c r="Y90" s="4">
        <v>9900.8892369999994</v>
      </c>
      <c r="Z90" s="6">
        <v>0.78300000000000003</v>
      </c>
      <c r="AA90" s="3">
        <v>3.8461538459999998E-3</v>
      </c>
      <c r="AB90" s="6">
        <v>0.51600000000000001</v>
      </c>
      <c r="AC90" s="3">
        <v>-7.7519379839999999E-3</v>
      </c>
      <c r="AD90" s="6">
        <v>0.26700000000000002</v>
      </c>
      <c r="AE90" s="3">
        <v>0.100079375</v>
      </c>
      <c r="AF90" s="3">
        <v>8.4079374999999998E-2</v>
      </c>
      <c r="AG90" s="3">
        <v>9.3079375000000006E-2</v>
      </c>
      <c r="AH90" s="3">
        <v>9.0079375000000003E-2</v>
      </c>
      <c r="AI90" s="3">
        <v>0.36731750000000002</v>
      </c>
      <c r="AJ90" s="6">
        <v>0.3130329073</v>
      </c>
      <c r="AK90" s="4">
        <v>2643.5374259999999</v>
      </c>
      <c r="AL90" t="s">
        <v>90</v>
      </c>
      <c r="AM90" t="s">
        <v>134</v>
      </c>
      <c r="AN90" t="str">
        <f t="shared" si="3"/>
        <v>Satisfactory Economic Resilience with Poor Affordability.</v>
      </c>
      <c r="AP90" t="s">
        <v>40</v>
      </c>
    </row>
    <row r="91" spans="1:42" x14ac:dyDescent="0.4">
      <c r="A91" t="str">
        <f t="shared" si="2"/>
        <v>BRAZIL|2024</v>
      </c>
      <c r="B91" s="1" t="s">
        <v>130</v>
      </c>
      <c r="C91" s="1">
        <v>2024</v>
      </c>
      <c r="D91" s="4">
        <v>112600000000000</v>
      </c>
      <c r="E91" s="3">
        <v>5.4307116099999997E-2</v>
      </c>
      <c r="F91" s="2">
        <v>8161972572</v>
      </c>
      <c r="G91" s="3">
        <v>8.8964860320000002E-3</v>
      </c>
      <c r="H91" s="4">
        <v>2185822000000</v>
      </c>
      <c r="I91" s="3">
        <v>-2.423404888E-3</v>
      </c>
      <c r="J91" s="2">
        <v>211998573</v>
      </c>
      <c r="K91" s="3">
        <v>4.0629015729999997E-3</v>
      </c>
      <c r="L91" s="3">
        <v>1.9412273529999999E-2</v>
      </c>
      <c r="M91" s="4">
        <v>385708900000</v>
      </c>
      <c r="N91" s="4">
        <v>392105400000</v>
      </c>
      <c r="O91" s="4">
        <v>6396500000</v>
      </c>
      <c r="P91" s="3">
        <v>2.9263590540000001E-3</v>
      </c>
      <c r="Q91" s="3">
        <v>0.81899999999999995</v>
      </c>
      <c r="R91" s="3">
        <v>-1.325301205E-2</v>
      </c>
      <c r="S91" s="4">
        <v>1790188218000</v>
      </c>
      <c r="T91" s="3">
        <v>0.1225</v>
      </c>
      <c r="U91" s="4">
        <v>219298056705</v>
      </c>
      <c r="V91" s="3">
        <v>0.1003275</v>
      </c>
      <c r="W91" s="3">
        <v>4.3674640000000001E-2</v>
      </c>
      <c r="X91" s="4">
        <v>10310.55053</v>
      </c>
      <c r="Y91" s="4">
        <v>9860.2409509999998</v>
      </c>
      <c r="Z91" s="6">
        <v>0.78449999999999998</v>
      </c>
      <c r="AA91" s="3">
        <v>1.9157088119999999E-3</v>
      </c>
      <c r="AB91" s="6">
        <v>0.51600000000000001</v>
      </c>
      <c r="AC91" s="3">
        <v>0</v>
      </c>
      <c r="AD91" s="6">
        <v>0.26850000000000002</v>
      </c>
      <c r="AE91" s="3">
        <v>0.10491250000000001</v>
      </c>
      <c r="AF91" s="3">
        <v>8.8912500000000005E-2</v>
      </c>
      <c r="AG91" s="3">
        <v>9.79125E-2</v>
      </c>
      <c r="AH91" s="3">
        <v>9.4912499999999997E-2</v>
      </c>
      <c r="AI91" s="3">
        <v>0.38664999999999999</v>
      </c>
      <c r="AJ91" s="6">
        <v>0.3086611326</v>
      </c>
      <c r="AK91" s="4">
        <v>2647.4746949999999</v>
      </c>
      <c r="AL91" t="s">
        <v>90</v>
      </c>
      <c r="AM91" t="s">
        <v>134</v>
      </c>
      <c r="AN91" t="str">
        <f t="shared" si="3"/>
        <v>Moderate Economic Resilience with Poor Affordability.</v>
      </c>
      <c r="AP91" t="s">
        <v>40</v>
      </c>
    </row>
    <row r="92" spans="1:42" x14ac:dyDescent="0.4">
      <c r="A92" t="str">
        <f t="shared" si="2"/>
        <v>BRAZIL|2025</v>
      </c>
      <c r="B92" s="1" t="s">
        <v>130</v>
      </c>
      <c r="C92" s="1">
        <v>2025</v>
      </c>
      <c r="D92" s="4">
        <v>113795678000000</v>
      </c>
      <c r="E92" s="3">
        <v>1.061880995E-2</v>
      </c>
      <c r="F92" s="2">
        <v>8231613070</v>
      </c>
      <c r="G92" s="3">
        <v>8.5323121809999999E-3</v>
      </c>
      <c r="H92" s="4">
        <v>2126000000000</v>
      </c>
      <c r="I92" s="3">
        <v>-2.7368193749999999E-2</v>
      </c>
      <c r="J92" s="2">
        <v>212600000</v>
      </c>
      <c r="K92" s="3">
        <v>2.8369389070000001E-3</v>
      </c>
      <c r="L92" s="3">
        <v>1.8682607609999999E-2</v>
      </c>
      <c r="M92" s="4">
        <v>300000000000</v>
      </c>
      <c r="N92" s="4">
        <v>374000000000</v>
      </c>
      <c r="O92" s="4">
        <v>74000000000</v>
      </c>
      <c r="P92" s="3">
        <v>3.4807149580000002E-2</v>
      </c>
      <c r="Q92" s="3">
        <v>0.87280000000000002</v>
      </c>
      <c r="R92" s="3">
        <v>6.5689865690000002E-2</v>
      </c>
      <c r="S92" s="4">
        <v>1855572800000</v>
      </c>
      <c r="T92" s="3">
        <v>0.15</v>
      </c>
      <c r="U92" s="4">
        <v>278335920000</v>
      </c>
      <c r="V92" s="3">
        <v>0.13092000000000001</v>
      </c>
      <c r="W92" s="3">
        <v>4.3700000000000003E-2</v>
      </c>
      <c r="X92" s="4">
        <v>10000</v>
      </c>
      <c r="Y92" s="4">
        <v>9563</v>
      </c>
      <c r="Z92" s="6">
        <v>0.78600000000000003</v>
      </c>
      <c r="AA92" s="3">
        <v>1.9120458889999999E-3</v>
      </c>
      <c r="AB92" s="6">
        <v>0.51600000000000001</v>
      </c>
      <c r="AC92" s="3">
        <v>0</v>
      </c>
      <c r="AD92" s="6">
        <v>0.27</v>
      </c>
      <c r="AE92" s="3">
        <v>0.11</v>
      </c>
      <c r="AF92" s="3">
        <v>9.4E-2</v>
      </c>
      <c r="AG92" s="3">
        <v>0.10299999999999999</v>
      </c>
      <c r="AH92" s="3">
        <v>0.1</v>
      </c>
      <c r="AI92" s="3">
        <v>0.40699999999999997</v>
      </c>
      <c r="AJ92" s="6">
        <v>0.32956975719999998</v>
      </c>
      <c r="AK92" s="4">
        <v>2582.0100000000002</v>
      </c>
      <c r="AL92" t="s">
        <v>90</v>
      </c>
      <c r="AM92" t="s">
        <v>135</v>
      </c>
      <c r="AN92" t="str">
        <f t="shared" si="3"/>
        <v>Satisfactory Economic Resilience with Poor Affordability.</v>
      </c>
      <c r="AO92" t="s">
        <v>314</v>
      </c>
      <c r="AP92" t="s">
        <v>40</v>
      </c>
    </row>
    <row r="93" spans="1:42" x14ac:dyDescent="0.4">
      <c r="A93" t="str">
        <f t="shared" si="2"/>
        <v>BRAZIL|2026</v>
      </c>
      <c r="B93" s="1" t="s">
        <v>130</v>
      </c>
      <c r="C93" s="1">
        <v>2026</v>
      </c>
      <c r="D93" s="4">
        <v>120063810405112</v>
      </c>
      <c r="E93" s="3">
        <v>5.5082341569999999E-2</v>
      </c>
      <c r="F93" s="2">
        <v>8302201675</v>
      </c>
      <c r="G93" s="3">
        <v>8.575306441E-3</v>
      </c>
      <c r="H93" s="4">
        <v>2250260162496</v>
      </c>
      <c r="I93" s="3">
        <v>5.8447865709999998E-2</v>
      </c>
      <c r="J93" s="2">
        <v>213550044.40000001</v>
      </c>
      <c r="K93" s="3">
        <v>4.4686940900000001E-3</v>
      </c>
      <c r="L93" s="3">
        <v>1.8742201789999999E-2</v>
      </c>
      <c r="M93" s="4">
        <v>376039728571</v>
      </c>
      <c r="N93" s="4">
        <v>438708414286</v>
      </c>
      <c r="O93" s="4">
        <v>62668685714</v>
      </c>
      <c r="P93" s="3">
        <v>2.784952903E-2</v>
      </c>
      <c r="Q93" s="3">
        <v>0.83060417230000005</v>
      </c>
      <c r="R93" s="3">
        <v>-4.8345357089999999E-2</v>
      </c>
      <c r="S93" s="4">
        <v>1869075479804</v>
      </c>
      <c r="T93" s="3">
        <v>0.17</v>
      </c>
      <c r="U93" s="4">
        <v>317742831567</v>
      </c>
      <c r="V93" s="3">
        <v>0.14120270930000001</v>
      </c>
      <c r="W93" s="3">
        <v>5.4817005709999998E-2</v>
      </c>
      <c r="X93" s="4">
        <v>10537.39028</v>
      </c>
      <c r="Y93" s="4">
        <v>9959.7620999999999</v>
      </c>
      <c r="Z93" s="6">
        <v>0.78824236250000002</v>
      </c>
      <c r="AA93" s="3">
        <v>2.8528784779999999E-3</v>
      </c>
      <c r="AB93" s="6">
        <v>0.51362886389999995</v>
      </c>
      <c r="AC93" s="3">
        <v>-4.6164385899999999E-3</v>
      </c>
      <c r="AD93" s="6">
        <v>0.27461349860000001</v>
      </c>
      <c r="AE93" s="3">
        <v>0.1150875</v>
      </c>
      <c r="AF93" s="3">
        <v>9.9087499999999995E-2</v>
      </c>
      <c r="AG93" s="3">
        <v>0.1080875</v>
      </c>
      <c r="AH93" s="3">
        <v>0.1050875</v>
      </c>
      <c r="AI93" s="3">
        <v>0.42735000000000001</v>
      </c>
      <c r="AJ93" s="6">
        <v>0.33273902150000001</v>
      </c>
      <c r="AK93" s="4">
        <v>2735.0851149999999</v>
      </c>
      <c r="AL93" t="s">
        <v>90</v>
      </c>
      <c r="AM93" t="s">
        <v>135</v>
      </c>
      <c r="AN93" t="str">
        <f t="shared" si="3"/>
        <v>Satisfactory Economic Resilience with Poor Affordability.</v>
      </c>
      <c r="AP93" t="s">
        <v>40</v>
      </c>
    </row>
    <row r="94" spans="1:42" x14ac:dyDescent="0.4">
      <c r="A94" t="str">
        <f t="shared" si="2"/>
        <v>BRAZIL|2027</v>
      </c>
      <c r="B94" s="1" t="s">
        <v>130</v>
      </c>
      <c r="C94" s="1">
        <v>2027</v>
      </c>
      <c r="D94" s="4">
        <v>125735541889780</v>
      </c>
      <c r="E94" s="3">
        <v>4.7239309379999997E-2</v>
      </c>
      <c r="F94" s="2">
        <v>8372937901</v>
      </c>
      <c r="G94" s="3">
        <v>8.5201768609999996E-3</v>
      </c>
      <c r="H94" s="4">
        <v>2351950417757</v>
      </c>
      <c r="I94" s="3">
        <v>4.5190443730000002E-2</v>
      </c>
      <c r="J94" s="2">
        <v>214435916.80000001</v>
      </c>
      <c r="K94" s="3">
        <v>4.1483132070000003E-3</v>
      </c>
      <c r="L94" s="3">
        <v>1.870553371E-2</v>
      </c>
      <c r="M94" s="4">
        <v>390601064286</v>
      </c>
      <c r="N94" s="4">
        <v>463753342857</v>
      </c>
      <c r="O94" s="4">
        <v>73152278571</v>
      </c>
      <c r="P94" s="3">
        <v>3.110281493E-2</v>
      </c>
      <c r="Q94" s="3">
        <v>0.80704753259999995</v>
      </c>
      <c r="R94" s="3">
        <v>-2.8360849229999999E-2</v>
      </c>
      <c r="S94" s="4">
        <v>1898135781528</v>
      </c>
      <c r="T94" s="3">
        <v>0.18732142860000001</v>
      </c>
      <c r="U94" s="4">
        <v>355561506218</v>
      </c>
      <c r="V94" s="3">
        <v>0.15117729669999999</v>
      </c>
      <c r="W94" s="3">
        <v>5.5000708209999999E-2</v>
      </c>
      <c r="X94" s="4">
        <v>10968.08059</v>
      </c>
      <c r="Y94" s="4">
        <v>10364.828390000001</v>
      </c>
      <c r="Z94" s="6">
        <v>0.79059047940000005</v>
      </c>
      <c r="AA94" s="3">
        <v>2.9789276440000002E-3</v>
      </c>
      <c r="AB94" s="6">
        <v>0.51192010580000002</v>
      </c>
      <c r="AC94" s="3">
        <v>-3.3379390460000001E-3</v>
      </c>
      <c r="AD94" s="6">
        <v>0.27867037369999997</v>
      </c>
      <c r="AE94" s="3">
        <v>0.12042937500000001</v>
      </c>
      <c r="AF94" s="3">
        <v>0.104429375</v>
      </c>
      <c r="AG94" s="3">
        <v>0.113429375</v>
      </c>
      <c r="AH94" s="3">
        <v>0.110429375</v>
      </c>
      <c r="AI94" s="3">
        <v>0.44871749999999999</v>
      </c>
      <c r="AJ94" s="6">
        <v>0.34734855190000002</v>
      </c>
      <c r="AK94" s="4">
        <v>2888.3706010000001</v>
      </c>
      <c r="AL94" t="s">
        <v>90</v>
      </c>
      <c r="AM94" t="s">
        <v>136</v>
      </c>
      <c r="AN94" t="str">
        <f t="shared" si="3"/>
        <v>Satisfactory Economic Resilience with Poor Affordability.</v>
      </c>
      <c r="AP94" t="s">
        <v>40</v>
      </c>
    </row>
    <row r="95" spans="1:42" x14ac:dyDescent="0.4">
      <c r="A95" t="str">
        <f t="shared" si="2"/>
        <v>BRAZIL|2028</v>
      </c>
      <c r="B95" s="1" t="s">
        <v>130</v>
      </c>
      <c r="C95" s="1">
        <v>2028</v>
      </c>
      <c r="D95" s="4">
        <v>131237442252096</v>
      </c>
      <c r="E95" s="3">
        <v>4.375771782E-2</v>
      </c>
      <c r="F95" s="2">
        <v>8443822776</v>
      </c>
      <c r="G95" s="3">
        <v>8.465950178E-3</v>
      </c>
      <c r="H95" s="4">
        <v>2446323293071</v>
      </c>
      <c r="I95" s="3">
        <v>4.0125367699999998E-2</v>
      </c>
      <c r="J95" s="2">
        <v>215300449.19999999</v>
      </c>
      <c r="K95" s="3">
        <v>4.0316584709999999E-3</v>
      </c>
      <c r="L95" s="3">
        <v>1.864043714E-2</v>
      </c>
      <c r="M95" s="4">
        <v>405162400000</v>
      </c>
      <c r="N95" s="4">
        <v>488798271429</v>
      </c>
      <c r="O95" s="4">
        <v>83635871429</v>
      </c>
      <c r="P95" s="3">
        <v>3.4188396789999999E-2</v>
      </c>
      <c r="Q95" s="3">
        <v>0.78982365970000001</v>
      </c>
      <c r="R95" s="3">
        <v>-2.1341832099999999E-2</v>
      </c>
      <c r="S95" s="4">
        <v>1932164016127</v>
      </c>
      <c r="T95" s="3">
        <v>0.20464285709999999</v>
      </c>
      <c r="U95" s="4">
        <v>395403564729</v>
      </c>
      <c r="V95" s="3">
        <v>0.16163177040000001</v>
      </c>
      <c r="W95" s="3">
        <v>5.5184410709999999E-2</v>
      </c>
      <c r="X95" s="4">
        <v>11362.36967</v>
      </c>
      <c r="Y95" s="4">
        <v>10735.343989999999</v>
      </c>
      <c r="Z95" s="6">
        <v>0.79297561679999995</v>
      </c>
      <c r="AA95" s="3">
        <v>3.0169062969999999E-3</v>
      </c>
      <c r="AB95" s="6">
        <v>0.51043686479999995</v>
      </c>
      <c r="AC95" s="3">
        <v>-2.9058265159999999E-3</v>
      </c>
      <c r="AD95" s="6">
        <v>0.282538752</v>
      </c>
      <c r="AE95" s="3">
        <v>0.12603834380000001</v>
      </c>
      <c r="AF95" s="3">
        <v>0.11003834379999999</v>
      </c>
      <c r="AG95" s="3">
        <v>0.1190383438</v>
      </c>
      <c r="AH95" s="3">
        <v>0.1160383438</v>
      </c>
      <c r="AI95" s="3">
        <v>0.47115337499999999</v>
      </c>
      <c r="AJ95" s="6">
        <v>0.36235043859999999</v>
      </c>
      <c r="AK95" s="4">
        <v>3033.1506939999999</v>
      </c>
      <c r="AL95" t="s">
        <v>90</v>
      </c>
      <c r="AM95" t="s">
        <v>137</v>
      </c>
      <c r="AN95" t="str">
        <f t="shared" si="3"/>
        <v>Satisfactory Economic Resilience with Poor Affordability.</v>
      </c>
      <c r="AP95" t="s">
        <v>40</v>
      </c>
    </row>
    <row r="96" spans="1:42" x14ac:dyDescent="0.4">
      <c r="A96" t="str">
        <f t="shared" si="2"/>
        <v>BRAZIL|2029</v>
      </c>
      <c r="B96" s="1" t="s">
        <v>130</v>
      </c>
      <c r="C96" s="1">
        <v>2029</v>
      </c>
      <c r="D96" s="4">
        <v>136712479650225</v>
      </c>
      <c r="E96" s="3">
        <v>4.1718562200000003E-2</v>
      </c>
      <c r="F96" s="2">
        <v>8514849364</v>
      </c>
      <c r="G96" s="3">
        <v>8.4116624760000001E-3</v>
      </c>
      <c r="H96" s="4">
        <v>2538510628611</v>
      </c>
      <c r="I96" s="3">
        <v>3.76840362E-2</v>
      </c>
      <c r="J96" s="2">
        <v>216157874.80000001</v>
      </c>
      <c r="K96" s="3">
        <v>3.9824606160000003E-3</v>
      </c>
      <c r="L96" s="3">
        <v>1.8568243620000001E-2</v>
      </c>
      <c r="M96" s="4">
        <v>419723735714</v>
      </c>
      <c r="N96" s="4">
        <v>513843200000</v>
      </c>
      <c r="O96" s="4">
        <v>94119464286</v>
      </c>
      <c r="P96" s="3">
        <v>3.7076647710000001E-2</v>
      </c>
      <c r="Q96" s="3">
        <v>0.77486129179999996</v>
      </c>
      <c r="R96" s="3">
        <v>-1.894393473E-2</v>
      </c>
      <c r="S96" s="4">
        <v>1966993625023</v>
      </c>
      <c r="T96" s="3">
        <v>0.22196428570000001</v>
      </c>
      <c r="U96" s="4">
        <v>436602334983</v>
      </c>
      <c r="V96" s="3">
        <v>0.17199153319999999</v>
      </c>
      <c r="W96" s="3">
        <v>5.536811321E-2</v>
      </c>
      <c r="X96" s="4">
        <v>11743.78047</v>
      </c>
      <c r="Y96" s="4">
        <v>11093.549510000001</v>
      </c>
      <c r="Z96" s="6">
        <v>0.79537484599999997</v>
      </c>
      <c r="AA96" s="3">
        <v>3.0256027139999998E-3</v>
      </c>
      <c r="AB96" s="6">
        <v>0.50903439360000002</v>
      </c>
      <c r="AC96" s="3">
        <v>-2.755160093E-3</v>
      </c>
      <c r="AD96" s="6">
        <v>0.28634045250000001</v>
      </c>
      <c r="AE96" s="3">
        <v>0.1319277609</v>
      </c>
      <c r="AF96" s="3">
        <v>0.1159277609</v>
      </c>
      <c r="AG96" s="3">
        <v>0.1249277609</v>
      </c>
      <c r="AH96" s="3">
        <v>0.1219277609</v>
      </c>
      <c r="AI96" s="3">
        <v>0.49471104380000003</v>
      </c>
      <c r="AJ96" s="6">
        <v>0.37836440189999998</v>
      </c>
      <c r="AK96" s="4">
        <v>3176.5319850000001</v>
      </c>
      <c r="AL96" t="s">
        <v>90</v>
      </c>
      <c r="AM96" t="s">
        <v>138</v>
      </c>
      <c r="AN96" t="str">
        <f t="shared" si="3"/>
        <v>Satisfactory Economic Resilience with Poor Affordability.</v>
      </c>
      <c r="AP96" t="s">
        <v>40</v>
      </c>
    </row>
    <row r="97" spans="1:42" x14ac:dyDescent="0.4">
      <c r="A97" t="str">
        <f t="shared" si="2"/>
        <v>BRAZIL|2030</v>
      </c>
      <c r="B97" s="1" t="s">
        <v>130</v>
      </c>
      <c r="C97" s="1">
        <v>2030</v>
      </c>
      <c r="D97" s="4">
        <v>141834754671550</v>
      </c>
      <c r="E97" s="3"/>
      <c r="F97" s="2">
        <v>8586617399</v>
      </c>
      <c r="G97" s="3"/>
      <c r="H97" s="4">
        <v>2657145175791</v>
      </c>
      <c r="I97" s="3"/>
      <c r="J97" s="2">
        <v>216955069.69999999</v>
      </c>
      <c r="K97" s="3"/>
      <c r="L97" s="3">
        <v>1.873409082E-2</v>
      </c>
      <c r="M97" s="4">
        <v>434285071429</v>
      </c>
      <c r="N97" s="4">
        <v>538888128571</v>
      </c>
      <c r="O97" s="4">
        <v>104603057143</v>
      </c>
      <c r="P97" s="3">
        <v>3.936670758E-2</v>
      </c>
      <c r="Q97" s="3">
        <v>0.76075177329999999</v>
      </c>
      <c r="R97" s="3"/>
      <c r="S97" s="4">
        <v>2021427904330</v>
      </c>
      <c r="T97" s="3">
        <v>0.23928571430000001</v>
      </c>
      <c r="U97" s="4">
        <v>483698819965</v>
      </c>
      <c r="V97" s="3">
        <v>0.1820370315</v>
      </c>
      <c r="W97" s="3">
        <v>5.5551815710000001E-2</v>
      </c>
      <c r="X97" s="4">
        <v>12247.4445</v>
      </c>
      <c r="Y97" s="4">
        <v>11567.076719999999</v>
      </c>
      <c r="Z97" s="6">
        <v>0.79778011500000001</v>
      </c>
      <c r="AA97" s="3"/>
      <c r="AB97" s="6">
        <v>0.50766235019999995</v>
      </c>
      <c r="AC97" s="3"/>
      <c r="AD97" s="6">
        <v>0.29011776480000001</v>
      </c>
      <c r="AE97" s="3">
        <v>0.138111649</v>
      </c>
      <c r="AF97" s="3">
        <v>0.122111649</v>
      </c>
      <c r="AG97" s="3">
        <v>0.131111649</v>
      </c>
      <c r="AH97" s="3">
        <v>0.12811164899999999</v>
      </c>
      <c r="AI97" s="3">
        <v>0.51944659589999997</v>
      </c>
      <c r="AJ97" s="6">
        <v>0.39551036290000002</v>
      </c>
      <c r="AK97" s="4">
        <v>3355.8144440000001</v>
      </c>
      <c r="AL97" t="s">
        <v>90</v>
      </c>
      <c r="AM97" t="s">
        <v>139</v>
      </c>
      <c r="AN97" t="str">
        <f t="shared" si="3"/>
        <v>Satisfactory Economic Resilience with Poor Affordability.</v>
      </c>
      <c r="AP97" t="s">
        <v>40</v>
      </c>
    </row>
    <row r="98" spans="1:42" x14ac:dyDescent="0.4">
      <c r="A98" t="str">
        <f t="shared" si="2"/>
        <v>TURKEY|2019</v>
      </c>
      <c r="B98" s="1" t="s">
        <v>141</v>
      </c>
      <c r="C98" s="1">
        <v>2019</v>
      </c>
      <c r="D98" s="4">
        <v>87700000000000</v>
      </c>
      <c r="E98" s="3"/>
      <c r="F98" s="2">
        <v>7810000000</v>
      </c>
      <c r="G98" s="3"/>
      <c r="H98" s="4">
        <v>775853100000</v>
      </c>
      <c r="I98" s="3"/>
      <c r="J98" s="2">
        <v>82579440</v>
      </c>
      <c r="K98" s="3"/>
      <c r="L98" s="3">
        <v>8.8466716079999997E-3</v>
      </c>
      <c r="M98" s="4">
        <v>229253600000</v>
      </c>
      <c r="N98" s="4">
        <v>256263400000</v>
      </c>
      <c r="O98" s="4">
        <v>27009800000</v>
      </c>
      <c r="P98" s="3">
        <v>3.4813033549999997E-2</v>
      </c>
      <c r="Q98" s="3">
        <v>0.33460074000000001</v>
      </c>
      <c r="R98" s="3"/>
      <c r="S98" s="4">
        <v>259601021391</v>
      </c>
      <c r="T98" s="3">
        <v>0.24</v>
      </c>
      <c r="U98" s="4">
        <v>62304245134</v>
      </c>
      <c r="V98" s="3">
        <v>8.0304177599999998E-2</v>
      </c>
      <c r="W98" s="3">
        <v>0.15176822000000001</v>
      </c>
      <c r="X98" s="4">
        <v>9395.2332439999991</v>
      </c>
      <c r="Y98" s="4">
        <v>7969.3354179999997</v>
      </c>
      <c r="Z98" s="6">
        <v>0.84199999999999997</v>
      </c>
      <c r="AA98" s="3"/>
      <c r="AB98" s="7">
        <v>0.437999999999999</v>
      </c>
      <c r="AC98" s="3"/>
      <c r="AD98" s="6">
        <v>0.40400000000000003</v>
      </c>
      <c r="AE98" s="3">
        <v>0.16950259449999999</v>
      </c>
      <c r="AF98" s="3">
        <v>2.1502594470000001E-2</v>
      </c>
      <c r="AG98" s="3">
        <v>7.4502594470000003E-2</v>
      </c>
      <c r="AH98" s="3">
        <v>1.7502594470000001E-2</v>
      </c>
      <c r="AI98" s="3">
        <v>0.2830103779</v>
      </c>
      <c r="AJ98" s="6">
        <v>0.2463659054</v>
      </c>
      <c r="AK98" s="4">
        <v>3219.6115089999998</v>
      </c>
      <c r="AL98" t="s">
        <v>90</v>
      </c>
      <c r="AM98" t="s">
        <v>140</v>
      </c>
      <c r="AN98" t="str">
        <f t="shared" si="3"/>
        <v>Weak Economic Resilience with Poor Affordability.</v>
      </c>
      <c r="AP98" t="s">
        <v>270</v>
      </c>
    </row>
    <row r="99" spans="1:42" x14ac:dyDescent="0.4">
      <c r="A99" t="str">
        <f t="shared" si="2"/>
        <v>TURKEY|2020</v>
      </c>
      <c r="B99" s="1" t="s">
        <v>141</v>
      </c>
      <c r="C99" s="1">
        <v>2020</v>
      </c>
      <c r="D99" s="4">
        <v>84750000000000</v>
      </c>
      <c r="E99" s="3">
        <v>-3.3637400230000003E-2</v>
      </c>
      <c r="F99" s="2">
        <v>7890000000</v>
      </c>
      <c r="G99" s="3">
        <v>1.0243277849999999E-2</v>
      </c>
      <c r="H99" s="4">
        <v>733628200000</v>
      </c>
      <c r="I99" s="3">
        <v>-5.4423833579999997E-2</v>
      </c>
      <c r="J99" s="2">
        <v>83384680</v>
      </c>
      <c r="K99" s="3">
        <v>9.7510954300000004E-3</v>
      </c>
      <c r="L99" s="3">
        <v>8.6563799410000006E-3</v>
      </c>
      <c r="M99" s="4">
        <v>232192200000</v>
      </c>
      <c r="N99" s="4">
        <v>210844800000</v>
      </c>
      <c r="O99" s="4">
        <v>-21347400000</v>
      </c>
      <c r="P99" s="3">
        <v>-2.9098390710000002E-2</v>
      </c>
      <c r="Q99" s="3">
        <v>0.41039651999999999</v>
      </c>
      <c r="R99" s="3">
        <v>0.2265260382</v>
      </c>
      <c r="S99" s="4">
        <v>301078460254</v>
      </c>
      <c r="T99" s="3">
        <v>8.7499999999999994E-2</v>
      </c>
      <c r="U99" s="4">
        <v>26344365272</v>
      </c>
      <c r="V99" s="3">
        <v>3.5909695499999998E-2</v>
      </c>
      <c r="W99" s="3">
        <v>0.12278957</v>
      </c>
      <c r="X99" s="4">
        <v>8798.1173519999993</v>
      </c>
      <c r="Y99" s="4">
        <v>7717.8003060000001</v>
      </c>
      <c r="Z99" s="6">
        <v>0.83499999999999996</v>
      </c>
      <c r="AA99" s="3">
        <v>-8.3135391919999992E-3</v>
      </c>
      <c r="AB99" s="6">
        <v>0.43</v>
      </c>
      <c r="AC99" s="3">
        <v>-1.8604651159999999E-2</v>
      </c>
      <c r="AD99" s="6">
        <v>0.40500000000000003</v>
      </c>
      <c r="AE99" s="3">
        <v>0.17322641520000001</v>
      </c>
      <c r="AF99" s="3">
        <v>2.522641523E-2</v>
      </c>
      <c r="AG99" s="3">
        <v>7.8226415229999999E-2</v>
      </c>
      <c r="AH99" s="3">
        <v>2.122641523E-2</v>
      </c>
      <c r="AI99" s="3">
        <v>0.29790566089999998</v>
      </c>
      <c r="AJ99" s="6">
        <v>0.24155395469999999</v>
      </c>
      <c r="AK99" s="4">
        <v>3125.709124</v>
      </c>
      <c r="AL99" t="s">
        <v>90</v>
      </c>
      <c r="AM99" t="s">
        <v>142</v>
      </c>
      <c r="AN99" t="str">
        <f t="shared" si="3"/>
        <v>Weak Economic Resilience with Poor Affordability.</v>
      </c>
      <c r="AP99" t="s">
        <v>270</v>
      </c>
    </row>
    <row r="100" spans="1:42" x14ac:dyDescent="0.4">
      <c r="A100" t="str">
        <f t="shared" si="2"/>
        <v>TURKEY|2021</v>
      </c>
      <c r="B100" s="1" t="s">
        <v>141</v>
      </c>
      <c r="C100" s="1">
        <v>2021</v>
      </c>
      <c r="D100" s="4">
        <v>96140000000000</v>
      </c>
      <c r="E100" s="3">
        <v>0.13439528019999999</v>
      </c>
      <c r="F100" s="2">
        <v>7950000000</v>
      </c>
      <c r="G100" s="3">
        <v>7.6045627380000001E-3</v>
      </c>
      <c r="H100" s="4">
        <v>839938700000</v>
      </c>
      <c r="I100" s="3">
        <v>0.14491059640000001</v>
      </c>
      <c r="J100" s="2">
        <v>84147318</v>
      </c>
      <c r="K100" s="3">
        <v>9.1460205880000006E-3</v>
      </c>
      <c r="L100" s="3">
        <v>8.7366205530000005E-3</v>
      </c>
      <c r="M100" s="4">
        <v>290243000000</v>
      </c>
      <c r="N100" s="4">
        <v>294429000000</v>
      </c>
      <c r="O100" s="4">
        <v>4186000000</v>
      </c>
      <c r="P100" s="3">
        <v>4.9836970249999999E-3</v>
      </c>
      <c r="Q100" s="3">
        <v>0.41637511999999999</v>
      </c>
      <c r="R100" s="3">
        <v>1.456786232E-2</v>
      </c>
      <c r="S100" s="4">
        <v>349729577005</v>
      </c>
      <c r="T100" s="3">
        <v>0.19</v>
      </c>
      <c r="U100" s="4">
        <v>66448619631</v>
      </c>
      <c r="V100" s="3">
        <v>7.9111272799999993E-2</v>
      </c>
      <c r="W100" s="5">
        <v>0.19596492999999901</v>
      </c>
      <c r="X100" s="4">
        <v>9981.7643619999999</v>
      </c>
      <c r="Y100" s="4">
        <v>8025.6886080000004</v>
      </c>
      <c r="Z100" s="6">
        <v>0.84099999999999997</v>
      </c>
      <c r="AA100" s="3">
        <v>7.1856287430000004E-3</v>
      </c>
      <c r="AB100" s="6">
        <v>0.44400000000000001</v>
      </c>
      <c r="AC100" s="3">
        <v>3.1531531529999997E-2</v>
      </c>
      <c r="AD100" s="6">
        <v>0.39700000000000002</v>
      </c>
      <c r="AE100" s="3">
        <v>0.17714622660000001</v>
      </c>
      <c r="AF100" s="3">
        <v>2.9146226559999999E-2</v>
      </c>
      <c r="AG100" s="3">
        <v>8.2146226559999994E-2</v>
      </c>
      <c r="AH100" s="3">
        <v>2.5146226559999998E-2</v>
      </c>
      <c r="AI100" s="3">
        <v>0.31358490630000002</v>
      </c>
      <c r="AJ100" s="6">
        <v>0.248193951</v>
      </c>
      <c r="AK100" s="4">
        <v>3186.1983770000002</v>
      </c>
      <c r="AL100" t="s">
        <v>90</v>
      </c>
      <c r="AM100" t="s">
        <v>140</v>
      </c>
      <c r="AN100" t="str">
        <f t="shared" si="3"/>
        <v>Weak Economic Resilience with Poor Affordability.</v>
      </c>
      <c r="AP100" t="s">
        <v>270</v>
      </c>
    </row>
    <row r="101" spans="1:42" x14ac:dyDescent="0.4">
      <c r="A101" t="str">
        <f t="shared" si="2"/>
        <v>TURKEY|2022</v>
      </c>
      <c r="B101" s="1" t="s">
        <v>141</v>
      </c>
      <c r="C101" s="1">
        <v>2022</v>
      </c>
      <c r="D101" s="4">
        <v>101560000000000</v>
      </c>
      <c r="E101" s="3">
        <v>5.6376118160000002E-2</v>
      </c>
      <c r="F101" s="2">
        <v>8020000000</v>
      </c>
      <c r="G101" s="3">
        <v>8.8050314469999991E-3</v>
      </c>
      <c r="H101" s="4">
        <v>926097500000</v>
      </c>
      <c r="I101" s="3">
        <v>0.1025774857</v>
      </c>
      <c r="J101" s="2">
        <v>84979913</v>
      </c>
      <c r="K101" s="3">
        <v>9.8944924189999992E-3</v>
      </c>
      <c r="L101" s="3">
        <v>9.1187229219999999E-3</v>
      </c>
      <c r="M101" s="4">
        <v>386711100000</v>
      </c>
      <c r="N101" s="4">
        <v>353224800000</v>
      </c>
      <c r="O101" s="4">
        <v>-33486300000</v>
      </c>
      <c r="P101" s="3">
        <v>-3.6158503830000001E-2</v>
      </c>
      <c r="Q101" s="3">
        <v>0.35330084</v>
      </c>
      <c r="R101" s="3">
        <v>-0.15148426740000001</v>
      </c>
      <c r="S101" s="4">
        <v>327191024672</v>
      </c>
      <c r="T101" s="3">
        <v>0.14000000000000001</v>
      </c>
      <c r="U101" s="4">
        <v>45806743454</v>
      </c>
      <c r="V101" s="3">
        <v>4.9462117600000001E-2</v>
      </c>
      <c r="W101" s="3">
        <v>0.72308835999999999</v>
      </c>
      <c r="X101" s="4">
        <v>10897.84006</v>
      </c>
      <c r="Y101" s="4">
        <v>3017.7387629999998</v>
      </c>
      <c r="Z101" s="6">
        <v>0.85499999999999998</v>
      </c>
      <c r="AA101" s="3">
        <v>1.6646848990000001E-2</v>
      </c>
      <c r="AB101" s="6">
        <v>0.44500000000000001</v>
      </c>
      <c r="AC101" s="3">
        <v>2.2471910109999999E-3</v>
      </c>
      <c r="AD101" s="6">
        <v>0.41</v>
      </c>
      <c r="AE101" s="3">
        <v>0.18127234380000001</v>
      </c>
      <c r="AF101" s="3">
        <v>3.3272343750000002E-2</v>
      </c>
      <c r="AG101" s="3">
        <v>8.6272343749999994E-2</v>
      </c>
      <c r="AH101" s="3">
        <v>2.9272343749999999E-2</v>
      </c>
      <c r="AI101" s="3">
        <v>0.33008937500000002</v>
      </c>
      <c r="AJ101" s="6">
        <v>0.25358747650000002</v>
      </c>
      <c r="AK101" s="4">
        <v>1237.2728930000001</v>
      </c>
      <c r="AL101" t="s">
        <v>38</v>
      </c>
      <c r="AM101" t="s">
        <v>129</v>
      </c>
      <c r="AN101" t="str">
        <f t="shared" si="3"/>
        <v>Weak Economic Resilience with Very Weak Affordability.</v>
      </c>
      <c r="AP101" t="s">
        <v>270</v>
      </c>
    </row>
    <row r="102" spans="1:42" x14ac:dyDescent="0.4">
      <c r="A102" t="str">
        <f t="shared" si="2"/>
        <v>TURKEY|2023</v>
      </c>
      <c r="B102" s="1" t="s">
        <v>141</v>
      </c>
      <c r="C102" s="1">
        <v>2023</v>
      </c>
      <c r="D102" s="4">
        <v>106800000000000</v>
      </c>
      <c r="E102" s="3">
        <v>5.1595116189999998E-2</v>
      </c>
      <c r="F102" s="2">
        <v>8090000000</v>
      </c>
      <c r="G102" s="3">
        <v>8.7281795509999999E-3</v>
      </c>
      <c r="H102" s="4">
        <v>1141243000000</v>
      </c>
      <c r="I102" s="3">
        <v>0.23231409219999999</v>
      </c>
      <c r="J102" s="2">
        <v>85325965</v>
      </c>
      <c r="K102" s="3">
        <v>4.0721623240000003E-3</v>
      </c>
      <c r="L102" s="3">
        <v>1.068579588E-2</v>
      </c>
      <c r="M102" s="4">
        <v>385393300000</v>
      </c>
      <c r="N102" s="4">
        <v>364211600000</v>
      </c>
      <c r="O102" s="4">
        <v>-21181700000</v>
      </c>
      <c r="P102" s="3">
        <v>-1.8560201459999998E-2</v>
      </c>
      <c r="Q102" s="3">
        <v>0.33254835999999999</v>
      </c>
      <c r="R102" s="3">
        <v>-5.873883572E-2</v>
      </c>
      <c r="S102" s="4">
        <v>379518488011</v>
      </c>
      <c r="T102" s="3">
        <v>8.5000000000000006E-2</v>
      </c>
      <c r="U102" s="4">
        <v>32259071481</v>
      </c>
      <c r="V102" s="3">
        <v>2.8266610599999999E-2</v>
      </c>
      <c r="W102" s="3">
        <v>0.53859409000000003</v>
      </c>
      <c r="X102" s="4">
        <v>13375.096310000001</v>
      </c>
      <c r="Y102" s="4">
        <v>6171.3484859999999</v>
      </c>
      <c r="Z102" s="6">
        <v>0.85399999999999998</v>
      </c>
      <c r="AA102" s="3">
        <v>-1.1695906429999999E-3</v>
      </c>
      <c r="AB102" s="6">
        <v>0.44450000000000001</v>
      </c>
      <c r="AC102" s="3">
        <v>-1.1248593929999999E-3</v>
      </c>
      <c r="AD102" s="6">
        <v>0.40949999999999998</v>
      </c>
      <c r="AE102" s="3">
        <v>0.18561562500000001</v>
      </c>
      <c r="AF102" s="3">
        <v>3.7615625E-2</v>
      </c>
      <c r="AG102" s="3">
        <v>9.0615625000000005E-2</v>
      </c>
      <c r="AH102" s="3">
        <v>3.3615625000000003E-2</v>
      </c>
      <c r="AI102" s="3">
        <v>0.34746250000000001</v>
      </c>
      <c r="AJ102" s="6">
        <v>0.31132148380000002</v>
      </c>
      <c r="AK102" s="4">
        <v>2527.1672050000002</v>
      </c>
      <c r="AL102" t="s">
        <v>90</v>
      </c>
      <c r="AM102" t="s">
        <v>134</v>
      </c>
      <c r="AN102" t="str">
        <f t="shared" si="3"/>
        <v>Satisfactory Economic Resilience with Poor Affordability.</v>
      </c>
      <c r="AP102" t="s">
        <v>270</v>
      </c>
    </row>
    <row r="103" spans="1:42" x14ac:dyDescent="0.4">
      <c r="A103" t="str">
        <f t="shared" si="2"/>
        <v>TURKEY|2024</v>
      </c>
      <c r="B103" s="1" t="s">
        <v>141</v>
      </c>
      <c r="C103" s="1">
        <v>2024</v>
      </c>
      <c r="D103" s="4">
        <v>112600000000000</v>
      </c>
      <c r="E103" s="3">
        <v>5.4307116099999997E-2</v>
      </c>
      <c r="F103" s="2">
        <v>8161972572</v>
      </c>
      <c r="G103" s="3">
        <v>8.8964860320000002E-3</v>
      </c>
      <c r="H103" s="4">
        <v>1359124000000</v>
      </c>
      <c r="I103" s="3">
        <v>0.1909155193</v>
      </c>
      <c r="J103" s="2">
        <v>85518661</v>
      </c>
      <c r="K103" s="3">
        <v>2.2583512529999999E-3</v>
      </c>
      <c r="L103" s="3">
        <v>1.2070373000000001E-2</v>
      </c>
      <c r="M103" s="4">
        <v>367379100000</v>
      </c>
      <c r="N103" s="4">
        <v>374686300000</v>
      </c>
      <c r="O103" s="4">
        <v>7307200000</v>
      </c>
      <c r="P103" s="3">
        <v>5.376404213E-3</v>
      </c>
      <c r="Q103" s="5">
        <v>0.26619233999999897</v>
      </c>
      <c r="R103" s="3">
        <v>-0.19953795590000001</v>
      </c>
      <c r="S103" s="4">
        <v>361788397910</v>
      </c>
      <c r="T103" s="3">
        <v>0.5</v>
      </c>
      <c r="U103" s="4">
        <v>180894198955</v>
      </c>
      <c r="V103" s="3">
        <v>0.13309617000000001</v>
      </c>
      <c r="W103" s="3">
        <v>0.58506451000000004</v>
      </c>
      <c r="X103" s="4">
        <v>15892.718430000001</v>
      </c>
      <c r="Y103" s="4">
        <v>6594.45291</v>
      </c>
      <c r="Z103" s="6">
        <v>0.85</v>
      </c>
      <c r="AA103" s="3">
        <v>-4.6838407489999999E-3</v>
      </c>
      <c r="AB103" s="7">
        <v>0.44424999999999998</v>
      </c>
      <c r="AC103" s="3">
        <v>-5.6274620149999999E-4</v>
      </c>
      <c r="AD103" s="6">
        <v>0.40575</v>
      </c>
      <c r="AE103" s="3">
        <v>0.19018750000000001</v>
      </c>
      <c r="AF103" s="3">
        <v>4.2187500000000003E-2</v>
      </c>
      <c r="AG103" s="3">
        <v>9.5187499999999994E-2</v>
      </c>
      <c r="AH103" s="3">
        <v>3.8187499999999999E-2</v>
      </c>
      <c r="AI103" s="3">
        <v>0.36575000000000002</v>
      </c>
      <c r="AJ103" s="6">
        <v>0.25010060719999999</v>
      </c>
      <c r="AK103" s="4">
        <v>2675.6992679999998</v>
      </c>
      <c r="AL103" t="s">
        <v>90</v>
      </c>
      <c r="AM103" t="s">
        <v>140</v>
      </c>
      <c r="AN103" t="str">
        <f t="shared" si="3"/>
        <v>Weak Economic Resilience with Poor Affordability.</v>
      </c>
      <c r="AP103" t="s">
        <v>270</v>
      </c>
    </row>
    <row r="104" spans="1:42" x14ac:dyDescent="0.4">
      <c r="A104" t="str">
        <f t="shared" si="2"/>
        <v>TURKEY|2025</v>
      </c>
      <c r="B104" s="1" t="s">
        <v>141</v>
      </c>
      <c r="C104" s="1">
        <v>2025</v>
      </c>
      <c r="D104" s="4">
        <v>113795678000000</v>
      </c>
      <c r="E104" s="3">
        <v>1.061880995E-2</v>
      </c>
      <c r="F104" s="2">
        <v>8231613070</v>
      </c>
      <c r="G104" s="3">
        <v>8.5323121809999999E-3</v>
      </c>
      <c r="H104" s="4">
        <v>1437000000000</v>
      </c>
      <c r="I104" s="3">
        <v>5.7298671789999998E-2</v>
      </c>
      <c r="J104" s="2">
        <v>85700000</v>
      </c>
      <c r="K104" s="3">
        <v>2.1204611699999999E-3</v>
      </c>
      <c r="L104" s="3">
        <v>1.262789611E-2</v>
      </c>
      <c r="M104" s="4">
        <v>303000000000</v>
      </c>
      <c r="N104" s="4">
        <v>221000000000</v>
      </c>
      <c r="O104" s="4">
        <v>-82000000000</v>
      </c>
      <c r="P104" s="3">
        <v>-5.706332637E-2</v>
      </c>
      <c r="Q104" s="3">
        <v>0.29499999999999998</v>
      </c>
      <c r="R104" s="3">
        <v>0.1082212208</v>
      </c>
      <c r="S104" s="4">
        <v>423915000000</v>
      </c>
      <c r="T104" s="3">
        <v>0.46</v>
      </c>
      <c r="U104" s="4">
        <v>195000900000</v>
      </c>
      <c r="V104" s="3">
        <v>0.13569999999999999</v>
      </c>
      <c r="W104" s="3">
        <v>0.37859999999999999</v>
      </c>
      <c r="X104" s="4">
        <v>16767.79463</v>
      </c>
      <c r="Y104" s="4">
        <v>10419.50758</v>
      </c>
      <c r="Z104" s="6">
        <v>0.85299999999999998</v>
      </c>
      <c r="AA104" s="3">
        <v>3.5294117650000001E-3</v>
      </c>
      <c r="AB104" s="6">
        <v>0.44400000000000001</v>
      </c>
      <c r="AC104" s="3">
        <v>-5.6306306309999998E-4</v>
      </c>
      <c r="AD104" s="6">
        <v>0.40899999999999997</v>
      </c>
      <c r="AE104" s="3">
        <v>0.19500000000000001</v>
      </c>
      <c r="AF104" s="3">
        <v>4.7E-2</v>
      </c>
      <c r="AG104" s="3">
        <v>0.1</v>
      </c>
      <c r="AH104" s="3">
        <v>4.2999999999999997E-2</v>
      </c>
      <c r="AI104" s="3">
        <v>0.38500000000000001</v>
      </c>
      <c r="AJ104" s="6">
        <v>0.2048645697</v>
      </c>
      <c r="AK104" s="4">
        <v>4261.5786019999996</v>
      </c>
      <c r="AL104" t="s">
        <v>90</v>
      </c>
      <c r="AM104" t="s">
        <v>143</v>
      </c>
      <c r="AN104" t="str">
        <f t="shared" si="3"/>
        <v>Weak Economic Resilience with Poor Affordability.</v>
      </c>
      <c r="AO104" t="s">
        <v>315</v>
      </c>
      <c r="AP104" t="s">
        <v>270</v>
      </c>
    </row>
    <row r="105" spans="1:42" x14ac:dyDescent="0.4">
      <c r="A105" t="str">
        <f t="shared" si="2"/>
        <v>TURKEY|2026</v>
      </c>
      <c r="B105" s="1" t="s">
        <v>141</v>
      </c>
      <c r="C105" s="1">
        <v>2026</v>
      </c>
      <c r="D105" s="4">
        <v>120063810405112</v>
      </c>
      <c r="E105" s="3">
        <v>5.5082341569999999E-2</v>
      </c>
      <c r="F105" s="2">
        <v>8302201675</v>
      </c>
      <c r="G105" s="3">
        <v>8.575306441E-3</v>
      </c>
      <c r="H105" s="4">
        <v>1566921355687</v>
      </c>
      <c r="I105" s="3">
        <v>9.0411521009999996E-2</v>
      </c>
      <c r="J105" s="2">
        <v>86433421.689999998</v>
      </c>
      <c r="K105" s="3">
        <v>8.5580126759999993E-3</v>
      </c>
      <c r="L105" s="3">
        <v>1.3050738189999999E-2</v>
      </c>
      <c r="M105" s="4">
        <v>397276514286</v>
      </c>
      <c r="N105" s="4">
        <v>338047900000</v>
      </c>
      <c r="O105" s="4">
        <v>-59228614286</v>
      </c>
      <c r="P105" s="3">
        <v>-3.7799353539999997E-2</v>
      </c>
      <c r="Q105" s="3">
        <v>0.28296950739999999</v>
      </c>
      <c r="R105" s="3">
        <v>-4.0781330970000002E-2</v>
      </c>
      <c r="S105" s="4">
        <v>443390964097</v>
      </c>
      <c r="T105" s="3">
        <v>0.48299999999999998</v>
      </c>
      <c r="U105" s="4">
        <v>214157835659</v>
      </c>
      <c r="V105" s="3">
        <v>0.13667427209999999</v>
      </c>
      <c r="W105" s="3">
        <v>0.39752999999999999</v>
      </c>
      <c r="X105" s="4">
        <v>18128.65122</v>
      </c>
      <c r="Y105" s="4">
        <v>10921.968500000001</v>
      </c>
      <c r="Z105" s="6">
        <v>0.85643793879999996</v>
      </c>
      <c r="AA105" s="3">
        <v>4.0304089319999998E-3</v>
      </c>
      <c r="AB105" s="6">
        <v>0.44653173730000001</v>
      </c>
      <c r="AC105" s="3">
        <v>5.6697813790000003E-3</v>
      </c>
      <c r="AD105" s="6">
        <v>0.40990620150000001</v>
      </c>
      <c r="AE105" s="3">
        <v>0.1998125</v>
      </c>
      <c r="AF105" s="3">
        <v>5.1812499999999997E-2</v>
      </c>
      <c r="AG105" s="3">
        <v>0.1048125</v>
      </c>
      <c r="AH105" s="3">
        <v>4.7812500000000001E-2</v>
      </c>
      <c r="AI105" s="3">
        <v>0.40425</v>
      </c>
      <c r="AJ105" s="6">
        <v>0.24282711260000001</v>
      </c>
      <c r="AK105" s="4">
        <v>4476.9826210000001</v>
      </c>
      <c r="AL105" t="s">
        <v>90</v>
      </c>
      <c r="AM105" t="s">
        <v>142</v>
      </c>
      <c r="AN105" t="str">
        <f t="shared" si="3"/>
        <v>Weak Economic Resilience with Poor Affordability.</v>
      </c>
      <c r="AP105" t="s">
        <v>270</v>
      </c>
    </row>
    <row r="106" spans="1:42" x14ac:dyDescent="0.4">
      <c r="A106" t="str">
        <f t="shared" si="2"/>
        <v>TURKEY|2027</v>
      </c>
      <c r="B106" s="1" t="s">
        <v>141</v>
      </c>
      <c r="C106" s="1">
        <v>2027</v>
      </c>
      <c r="D106" s="4">
        <v>125735541889780</v>
      </c>
      <c r="E106" s="3">
        <v>4.7239309379999997E-2</v>
      </c>
      <c r="F106" s="2">
        <v>8372937901</v>
      </c>
      <c r="G106" s="3">
        <v>8.5201768609999996E-3</v>
      </c>
      <c r="H106" s="4">
        <v>1707718085781</v>
      </c>
      <c r="I106" s="3">
        <v>8.9855645649999996E-2</v>
      </c>
      <c r="J106" s="2">
        <v>87030988.230000004</v>
      </c>
      <c r="K106" s="3">
        <v>6.913605045E-3</v>
      </c>
      <c r="L106" s="3">
        <v>1.358182468E-2</v>
      </c>
      <c r="M106" s="4">
        <v>418232346429</v>
      </c>
      <c r="N106" s="4">
        <v>348464878571</v>
      </c>
      <c r="O106" s="4">
        <v>-69767467857</v>
      </c>
      <c r="P106" s="3">
        <v>-4.0854206810000002E-2</v>
      </c>
      <c r="Q106" s="3">
        <v>0.26989032509999999</v>
      </c>
      <c r="R106" s="3">
        <v>-4.6221171829999998E-2</v>
      </c>
      <c r="S106" s="4">
        <v>460896589420</v>
      </c>
      <c r="T106" s="3">
        <v>0.50714999999999999</v>
      </c>
      <c r="U106" s="4">
        <v>233743705324</v>
      </c>
      <c r="V106" s="3">
        <v>0.13687487840000001</v>
      </c>
      <c r="W106" s="3">
        <v>0.41740650000000001</v>
      </c>
      <c r="X106" s="4">
        <v>19621.954440000001</v>
      </c>
      <c r="Y106" s="4">
        <v>11431.62311</v>
      </c>
      <c r="Z106" s="6">
        <v>0.85923934160000004</v>
      </c>
      <c r="AA106" s="3">
        <v>3.270993281E-3</v>
      </c>
      <c r="AB106" s="6">
        <v>0.4483579063</v>
      </c>
      <c r="AC106" s="3">
        <v>4.0730161879999997E-3</v>
      </c>
      <c r="AD106" s="6">
        <v>0.41088143519999998</v>
      </c>
      <c r="AE106" s="3">
        <v>0.204865625</v>
      </c>
      <c r="AF106" s="3">
        <v>5.6865625000000003E-2</v>
      </c>
      <c r="AG106" s="3">
        <v>0.10986562499999999</v>
      </c>
      <c r="AH106" s="3">
        <v>5.2865624999999999E-2</v>
      </c>
      <c r="AI106" s="3">
        <v>0.42446250000000002</v>
      </c>
      <c r="AJ106" s="6">
        <v>0.26031523950000002</v>
      </c>
      <c r="AK106" s="4">
        <v>4697.0417120000002</v>
      </c>
      <c r="AL106" t="s">
        <v>90</v>
      </c>
      <c r="AM106" t="s">
        <v>144</v>
      </c>
      <c r="AN106" t="str">
        <f t="shared" si="3"/>
        <v>Moderate Economic Resilience with Poor Affordability.</v>
      </c>
      <c r="AP106" t="s">
        <v>270</v>
      </c>
    </row>
    <row r="107" spans="1:42" x14ac:dyDescent="0.4">
      <c r="A107" t="str">
        <f t="shared" si="2"/>
        <v>TURKEY|2028</v>
      </c>
      <c r="B107" s="1" t="s">
        <v>141</v>
      </c>
      <c r="C107" s="1">
        <v>2028</v>
      </c>
      <c r="D107" s="4">
        <v>131237442252096</v>
      </c>
      <c r="E107" s="3">
        <v>4.375771782E-2</v>
      </c>
      <c r="F107" s="2">
        <v>8443822776</v>
      </c>
      <c r="G107" s="3">
        <v>8.465950178E-3</v>
      </c>
      <c r="H107" s="4">
        <v>1854904094566</v>
      </c>
      <c r="I107" s="3">
        <v>8.6188704099999999E-2</v>
      </c>
      <c r="J107" s="2">
        <v>87582662.140000001</v>
      </c>
      <c r="K107" s="3">
        <v>6.338821681E-3</v>
      </c>
      <c r="L107" s="3">
        <v>1.413395493E-2</v>
      </c>
      <c r="M107" s="4">
        <v>439188178571</v>
      </c>
      <c r="N107" s="4">
        <v>358881857143</v>
      </c>
      <c r="O107" s="4">
        <v>-80306321429</v>
      </c>
      <c r="P107" s="3">
        <v>-4.3294055829999997E-2</v>
      </c>
      <c r="Q107" s="3">
        <v>0.2565156294</v>
      </c>
      <c r="R107" s="3">
        <v>-4.9556039859999998E-2</v>
      </c>
      <c r="S107" s="4">
        <v>475811891352</v>
      </c>
      <c r="T107" s="3">
        <v>0.53250750000000002</v>
      </c>
      <c r="U107" s="4">
        <v>253373400734</v>
      </c>
      <c r="V107" s="3">
        <v>0.1365964965</v>
      </c>
      <c r="W107" s="3">
        <v>0.43827682499999998</v>
      </c>
      <c r="X107" s="4">
        <v>21178.89602</v>
      </c>
      <c r="Y107" s="4">
        <v>11896.67671</v>
      </c>
      <c r="Z107" s="6">
        <v>0.86182485509999995</v>
      </c>
      <c r="AA107" s="3">
        <v>3.0090726279999999E-3</v>
      </c>
      <c r="AB107" s="6">
        <v>0.4499445178</v>
      </c>
      <c r="AC107" s="3">
        <v>3.5262379719999998E-3</v>
      </c>
      <c r="AD107" s="6">
        <v>0.41188033740000002</v>
      </c>
      <c r="AE107" s="3">
        <v>0.2101714063</v>
      </c>
      <c r="AF107" s="3">
        <v>6.2171406249999998E-2</v>
      </c>
      <c r="AG107" s="3">
        <v>0.1151714063</v>
      </c>
      <c r="AH107" s="3">
        <v>5.8171406250000002E-2</v>
      </c>
      <c r="AI107" s="3">
        <v>0.44568562499999997</v>
      </c>
      <c r="AJ107" s="6">
        <v>0.27992902759999999</v>
      </c>
      <c r="AK107" s="4">
        <v>4900.0072190000001</v>
      </c>
      <c r="AL107" t="s">
        <v>90</v>
      </c>
      <c r="AM107" t="s">
        <v>145</v>
      </c>
      <c r="AN107" t="str">
        <f t="shared" si="3"/>
        <v>Moderate Economic Resilience with Poor Affordability.</v>
      </c>
      <c r="AP107" t="s">
        <v>270</v>
      </c>
    </row>
    <row r="108" spans="1:42" x14ac:dyDescent="0.4">
      <c r="A108" t="str">
        <f t="shared" si="2"/>
        <v>TURKEY|2029</v>
      </c>
      <c r="B108" s="1" t="s">
        <v>141</v>
      </c>
      <c r="C108" s="1">
        <v>2029</v>
      </c>
      <c r="D108" s="4">
        <v>136712479650225</v>
      </c>
      <c r="E108" s="3">
        <v>4.1718562200000003E-2</v>
      </c>
      <c r="F108" s="2">
        <v>8514849364</v>
      </c>
      <c r="G108" s="3">
        <v>8.4116624760000001E-3</v>
      </c>
      <c r="H108" s="4">
        <v>2006705482976</v>
      </c>
      <c r="I108" s="3">
        <v>8.1837863669999997E-2</v>
      </c>
      <c r="J108" s="2">
        <v>88118428.560000002</v>
      </c>
      <c r="K108" s="3">
        <v>6.1172657110000004E-3</v>
      </c>
      <c r="L108" s="3">
        <v>1.467829044E-2</v>
      </c>
      <c r="M108" s="4">
        <v>460144010714</v>
      </c>
      <c r="N108" s="4">
        <v>369298835714</v>
      </c>
      <c r="O108" s="4">
        <v>-90845175000</v>
      </c>
      <c r="P108" s="3">
        <v>-4.5270806189999999E-2</v>
      </c>
      <c r="Q108" s="3">
        <v>0.2430965329</v>
      </c>
      <c r="R108" s="3">
        <v>-5.2312978320000002E-2</v>
      </c>
      <c r="S108" s="4">
        <v>487823145401</v>
      </c>
      <c r="T108" s="3">
        <v>0.55913287499999997</v>
      </c>
      <c r="U108" s="4">
        <v>272757957780</v>
      </c>
      <c r="V108" s="3">
        <v>0.13592326330000001</v>
      </c>
      <c r="W108" s="3">
        <v>0.4601906663</v>
      </c>
      <c r="X108" s="4">
        <v>22772.824209999999</v>
      </c>
      <c r="Y108" s="4">
        <v>12292.98306</v>
      </c>
      <c r="Z108" s="6">
        <v>0.86433443249999997</v>
      </c>
      <c r="AA108" s="3">
        <v>2.9119343140000002E-3</v>
      </c>
      <c r="AB108" s="6">
        <v>0.451446442</v>
      </c>
      <c r="AC108" s="3">
        <v>3.326915697E-3</v>
      </c>
      <c r="AD108" s="6">
        <v>0.41288799050000002</v>
      </c>
      <c r="AE108" s="3">
        <v>0.21574247660000001</v>
      </c>
      <c r="AF108" s="3">
        <v>6.7742476560000001E-2</v>
      </c>
      <c r="AG108" s="3">
        <v>0.1207424766</v>
      </c>
      <c r="AH108" s="3">
        <v>6.3742476559999997E-2</v>
      </c>
      <c r="AI108" s="3">
        <v>0.46796990630000002</v>
      </c>
      <c r="AJ108" s="6">
        <v>0.30145412719999998</v>
      </c>
      <c r="AK108" s="4">
        <v>5075.6250739999996</v>
      </c>
      <c r="AL108" t="s">
        <v>94</v>
      </c>
      <c r="AM108" t="s">
        <v>146</v>
      </c>
      <c r="AN108" t="str">
        <f t="shared" si="3"/>
        <v>Moderate Economic Resilience with Challenging Affordability.</v>
      </c>
      <c r="AP108" t="s">
        <v>270</v>
      </c>
    </row>
    <row r="109" spans="1:42" x14ac:dyDescent="0.4">
      <c r="A109" t="str">
        <f t="shared" si="2"/>
        <v>TURKEY|2030</v>
      </c>
      <c r="B109" s="1" t="s">
        <v>141</v>
      </c>
      <c r="C109" s="1">
        <v>2030</v>
      </c>
      <c r="D109" s="4">
        <v>141834754671550</v>
      </c>
      <c r="E109" s="3"/>
      <c r="F109" s="2">
        <v>8586617399</v>
      </c>
      <c r="G109" s="3"/>
      <c r="H109" s="4">
        <v>2199908469423</v>
      </c>
      <c r="I109" s="3"/>
      <c r="J109" s="2">
        <v>88527974.799999997</v>
      </c>
      <c r="K109" s="3"/>
      <c r="L109" s="3">
        <v>1.551036257E-2</v>
      </c>
      <c r="M109" s="4">
        <v>481099842857</v>
      </c>
      <c r="N109" s="4">
        <v>379715814286</v>
      </c>
      <c r="O109" s="4">
        <v>-101384028571</v>
      </c>
      <c r="P109" s="3">
        <v>-4.6085566729999999E-2</v>
      </c>
      <c r="Q109" s="3">
        <v>0.22972057909999999</v>
      </c>
      <c r="R109" s="3"/>
      <c r="S109" s="4">
        <v>505364247636</v>
      </c>
      <c r="T109" s="3">
        <v>0.58708951880000004</v>
      </c>
      <c r="U109" s="4">
        <v>296694052938</v>
      </c>
      <c r="V109" s="3">
        <v>0.1348665443</v>
      </c>
      <c r="W109" s="3">
        <v>0.48320019959999999</v>
      </c>
      <c r="X109" s="4">
        <v>24849.86779</v>
      </c>
      <c r="Y109" s="4">
        <v>12842.406709999999</v>
      </c>
      <c r="Z109" s="6">
        <v>0.86681688020000003</v>
      </c>
      <c r="AA109" s="3"/>
      <c r="AB109" s="6">
        <v>0.45291768180000003</v>
      </c>
      <c r="AC109" s="3"/>
      <c r="AD109" s="6">
        <v>0.4138991984</v>
      </c>
      <c r="AE109" s="3">
        <v>0.22159210039999999</v>
      </c>
      <c r="AF109" s="3">
        <v>7.3592100389999998E-2</v>
      </c>
      <c r="AG109" s="3">
        <v>0.12659210039999999</v>
      </c>
      <c r="AH109" s="3">
        <v>6.9592100389999995E-2</v>
      </c>
      <c r="AI109" s="3">
        <v>0.4913684016</v>
      </c>
      <c r="AJ109" s="6">
        <v>0.32592665310000002</v>
      </c>
      <c r="AK109" s="4">
        <v>5315.4618449999998</v>
      </c>
      <c r="AL109" t="s">
        <v>94</v>
      </c>
      <c r="AM109" t="s">
        <v>147</v>
      </c>
      <c r="AN109" t="str">
        <f t="shared" si="3"/>
        <v>Satisfactory Economic Resilience with Challenging Affordability.</v>
      </c>
      <c r="AP109" t="s">
        <v>270</v>
      </c>
    </row>
    <row r="110" spans="1:42" x14ac:dyDescent="0.4">
      <c r="A110" t="str">
        <f t="shared" si="2"/>
        <v>MEXICO|2019</v>
      </c>
      <c r="B110" s="1" t="s">
        <v>148</v>
      </c>
      <c r="C110" s="1">
        <v>2019</v>
      </c>
      <c r="D110" s="4">
        <v>87700000000000</v>
      </c>
      <c r="E110" s="3"/>
      <c r="F110" s="2">
        <v>7810000000</v>
      </c>
      <c r="G110" s="3"/>
      <c r="H110" s="4">
        <v>1304106000000</v>
      </c>
      <c r="I110" s="3"/>
      <c r="J110" s="2">
        <v>125762982</v>
      </c>
      <c r="K110" s="3"/>
      <c r="L110" s="3">
        <v>1.487007982E-2</v>
      </c>
      <c r="M110" s="4">
        <v>507718800000</v>
      </c>
      <c r="N110" s="4">
        <v>502467600000</v>
      </c>
      <c r="O110" s="4">
        <v>-5251200000</v>
      </c>
      <c r="P110" s="3">
        <v>-4.0266665440000004E-3</v>
      </c>
      <c r="Q110" s="3">
        <v>0.41327394000000001</v>
      </c>
      <c r="R110" s="3"/>
      <c r="S110" s="4">
        <v>538953024798</v>
      </c>
      <c r="T110" s="3">
        <v>3.9399879999999998E-2</v>
      </c>
      <c r="U110" s="4">
        <v>21234684503</v>
      </c>
      <c r="V110" s="3">
        <v>1.6282943639999999E-2</v>
      </c>
      <c r="W110" s="3">
        <v>3.6359610000000001E-2</v>
      </c>
      <c r="X110" s="4">
        <v>10369.553739999999</v>
      </c>
      <c r="Y110" s="4">
        <v>9992.5208070000008</v>
      </c>
      <c r="Z110" s="6">
        <v>0.77</v>
      </c>
      <c r="AA110" s="3"/>
      <c r="AB110" s="6">
        <v>0.44600000000000001</v>
      </c>
      <c r="AC110" s="3"/>
      <c r="AD110" s="6">
        <v>0.32400000000000001</v>
      </c>
      <c r="AE110" s="3">
        <v>0.15595958909999999</v>
      </c>
      <c r="AF110" s="3">
        <v>3.2959589070000003E-2</v>
      </c>
      <c r="AG110" s="3">
        <v>5.9959589069999999E-2</v>
      </c>
      <c r="AH110" s="3">
        <v>1.795958907E-2</v>
      </c>
      <c r="AI110" s="3">
        <v>0.26683835630000002</v>
      </c>
      <c r="AJ110" s="6">
        <v>0.26139882590000002</v>
      </c>
      <c r="AK110" s="4">
        <v>3237.5767420000002</v>
      </c>
      <c r="AL110" t="s">
        <v>90</v>
      </c>
      <c r="AM110" t="s">
        <v>144</v>
      </c>
      <c r="AN110" t="str">
        <f t="shared" si="3"/>
        <v>Moderate Economic Resilience with Poor Affordability.</v>
      </c>
      <c r="AP110" t="s">
        <v>40</v>
      </c>
    </row>
    <row r="111" spans="1:42" x14ac:dyDescent="0.4">
      <c r="A111" t="str">
        <f t="shared" si="2"/>
        <v>MEXICO|2020</v>
      </c>
      <c r="B111" s="1" t="s">
        <v>148</v>
      </c>
      <c r="C111" s="1">
        <v>2020</v>
      </c>
      <c r="D111" s="4">
        <v>84750000000000</v>
      </c>
      <c r="E111" s="3">
        <v>-3.3637400230000003E-2</v>
      </c>
      <c r="F111" s="2">
        <v>7890000000</v>
      </c>
      <c r="G111" s="3">
        <v>1.0243277849999999E-2</v>
      </c>
      <c r="H111" s="4">
        <v>1121065000000</v>
      </c>
      <c r="I111" s="3">
        <v>-0.14035745559999999</v>
      </c>
      <c r="J111" s="2">
        <v>126799054</v>
      </c>
      <c r="K111" s="3">
        <v>8.2382906599999996E-3</v>
      </c>
      <c r="L111" s="3">
        <v>1.3227905599999999E-2</v>
      </c>
      <c r="M111" s="4">
        <v>421735400000</v>
      </c>
      <c r="N111" s="4">
        <v>439853900000</v>
      </c>
      <c r="O111" s="4">
        <v>18118500000</v>
      </c>
      <c r="P111" s="3">
        <v>1.616186394E-2</v>
      </c>
      <c r="Q111" s="5">
        <v>0.45837345999999901</v>
      </c>
      <c r="R111" s="3">
        <v>0.1091274228</v>
      </c>
      <c r="S111" s="4">
        <v>513866442935</v>
      </c>
      <c r="T111" s="3">
        <v>1.6458420000000001E-2</v>
      </c>
      <c r="U111" s="4">
        <v>8457429742</v>
      </c>
      <c r="V111" s="3">
        <v>7.5441029220000002E-3</v>
      </c>
      <c r="W111" s="3">
        <v>3.396834E-2</v>
      </c>
      <c r="X111" s="4">
        <v>8841.2725859999991</v>
      </c>
      <c r="Y111" s="4">
        <v>8540.9492320000008</v>
      </c>
      <c r="Z111" s="6">
        <v>0.78</v>
      </c>
      <c r="AA111" s="3">
        <v>1.298701299E-2</v>
      </c>
      <c r="AB111" s="6">
        <v>0.44600000000000001</v>
      </c>
      <c r="AC111" s="3">
        <v>0</v>
      </c>
      <c r="AD111" s="6">
        <v>0.33400000000000002</v>
      </c>
      <c r="AE111" s="3">
        <v>0.15947062009999999</v>
      </c>
      <c r="AF111" s="3">
        <v>3.6470620080000002E-2</v>
      </c>
      <c r="AG111" s="3">
        <v>6.3470620079999998E-2</v>
      </c>
      <c r="AH111" s="3">
        <v>2.1470620079999999E-2</v>
      </c>
      <c r="AI111" s="3">
        <v>0.28088248030000001</v>
      </c>
      <c r="AJ111" s="6">
        <v>0.30272814689999999</v>
      </c>
      <c r="AK111" s="4">
        <v>2852.677044</v>
      </c>
      <c r="AL111" t="s">
        <v>90</v>
      </c>
      <c r="AM111" t="s">
        <v>149</v>
      </c>
      <c r="AN111" t="str">
        <f t="shared" si="3"/>
        <v>Moderate Economic Resilience with Poor Affordability.</v>
      </c>
      <c r="AP111" t="s">
        <v>40</v>
      </c>
    </row>
    <row r="112" spans="1:42" x14ac:dyDescent="0.4">
      <c r="A112" t="str">
        <f t="shared" si="2"/>
        <v>MEXICO|2021</v>
      </c>
      <c r="B112" s="1" t="s">
        <v>148</v>
      </c>
      <c r="C112" s="1">
        <v>2021</v>
      </c>
      <c r="D112" s="4">
        <v>96140000000000</v>
      </c>
      <c r="E112" s="3">
        <v>0.13439528019999999</v>
      </c>
      <c r="F112" s="2">
        <v>7950000000</v>
      </c>
      <c r="G112" s="3">
        <v>7.6045627380000001E-3</v>
      </c>
      <c r="H112" s="4">
        <v>1316569000000</v>
      </c>
      <c r="I112" s="3">
        <v>0.1743913154</v>
      </c>
      <c r="J112" s="2">
        <v>127648148</v>
      </c>
      <c r="K112" s="3">
        <v>6.6963748799999997E-3</v>
      </c>
      <c r="L112" s="3">
        <v>1.369428958E-2</v>
      </c>
      <c r="M112" s="4">
        <v>559543400000</v>
      </c>
      <c r="N112" s="4">
        <v>534121600000</v>
      </c>
      <c r="O112" s="4">
        <v>-25421800000</v>
      </c>
      <c r="P112" s="3">
        <v>-1.9309128500000002E-2</v>
      </c>
      <c r="Q112" s="3">
        <v>0.44860956000000002</v>
      </c>
      <c r="R112" s="3">
        <v>-2.130118965E-2</v>
      </c>
      <c r="S112" s="4">
        <v>590625439800</v>
      </c>
      <c r="T112" s="3">
        <v>3.8635399999999999E-3</v>
      </c>
      <c r="U112" s="4">
        <v>2281905012</v>
      </c>
      <c r="V112" s="3">
        <v>1.7332209789999999E-3</v>
      </c>
      <c r="W112" s="3">
        <v>5.6892079999999998E-2</v>
      </c>
      <c r="X112" s="4">
        <v>10314.04702</v>
      </c>
      <c r="Y112" s="4">
        <v>9727.2594279999994</v>
      </c>
      <c r="Z112" s="6">
        <v>0.76</v>
      </c>
      <c r="AA112" s="3">
        <v>-2.5641025639999999E-2</v>
      </c>
      <c r="AB112" s="6">
        <v>0.4405</v>
      </c>
      <c r="AC112" s="3">
        <v>-1.2485811580000001E-2</v>
      </c>
      <c r="AD112" s="6">
        <v>0.31950000000000001</v>
      </c>
      <c r="AE112" s="3">
        <v>0.16316644220000001</v>
      </c>
      <c r="AF112" s="3">
        <v>4.0166442189999998E-2</v>
      </c>
      <c r="AG112" s="3">
        <v>6.7166442189999995E-2</v>
      </c>
      <c r="AH112" s="3">
        <v>2.5166442189999999E-2</v>
      </c>
      <c r="AI112" s="3">
        <v>0.29566576880000001</v>
      </c>
      <c r="AJ112" s="6">
        <v>0.28831770880000002</v>
      </c>
      <c r="AK112" s="4">
        <v>3107.859387</v>
      </c>
      <c r="AL112" t="s">
        <v>90</v>
      </c>
      <c r="AM112" t="s">
        <v>150</v>
      </c>
      <c r="AN112" t="str">
        <f t="shared" si="3"/>
        <v>Moderate Economic Resilience with Poor Affordability.</v>
      </c>
      <c r="AP112" t="s">
        <v>40</v>
      </c>
    </row>
    <row r="113" spans="1:42" x14ac:dyDescent="0.4">
      <c r="A113" t="str">
        <f t="shared" si="2"/>
        <v>MEXICO|2022</v>
      </c>
      <c r="B113" s="1" t="s">
        <v>148</v>
      </c>
      <c r="C113" s="1">
        <v>2022</v>
      </c>
      <c r="D113" s="4">
        <v>101560000000000</v>
      </c>
      <c r="E113" s="3">
        <v>5.6376118160000002E-2</v>
      </c>
      <c r="F113" s="2">
        <v>8020000000</v>
      </c>
      <c r="G113" s="3">
        <v>8.8050314469999991E-3</v>
      </c>
      <c r="H113" s="4">
        <v>1466935000000</v>
      </c>
      <c r="I113" s="3">
        <v>0.1142104971</v>
      </c>
      <c r="J113" s="2">
        <v>128613117</v>
      </c>
      <c r="K113" s="3">
        <v>7.5596004729999999E-3</v>
      </c>
      <c r="L113" s="3">
        <v>1.4444023239999999E-2</v>
      </c>
      <c r="M113" s="4">
        <v>672827100000</v>
      </c>
      <c r="N113" s="4">
        <v>629788700000</v>
      </c>
      <c r="O113" s="4">
        <v>-43038400000</v>
      </c>
      <c r="P113" s="3">
        <v>-2.933899593E-2</v>
      </c>
      <c r="Q113" s="3">
        <v>0.43969439999999999</v>
      </c>
      <c r="R113" s="3">
        <v>-1.9872871189999999E-2</v>
      </c>
      <c r="S113" s="4">
        <v>645003104664</v>
      </c>
      <c r="T113" s="3">
        <v>1.4179850000000001E-2</v>
      </c>
      <c r="U113" s="4">
        <v>9146047274</v>
      </c>
      <c r="V113" s="3">
        <v>6.2348006379999996E-3</v>
      </c>
      <c r="W113" s="3">
        <v>7.8962760000000007E-2</v>
      </c>
      <c r="X113" s="4">
        <v>11405.796189999999</v>
      </c>
      <c r="Y113" s="4">
        <v>10505.163039999999</v>
      </c>
      <c r="Z113" s="6">
        <v>0.78</v>
      </c>
      <c r="AA113" s="3">
        <v>2.631578947E-2</v>
      </c>
      <c r="AB113" s="6">
        <v>0.435</v>
      </c>
      <c r="AC113" s="3">
        <v>-1.264367816E-2</v>
      </c>
      <c r="AD113" s="6">
        <v>0.34499999999999997</v>
      </c>
      <c r="AE113" s="3">
        <v>0.16705678130000001</v>
      </c>
      <c r="AF113" s="3">
        <v>4.4056781250000003E-2</v>
      </c>
      <c r="AG113" s="3">
        <v>7.1056781250000006E-2</v>
      </c>
      <c r="AH113" s="3">
        <v>2.905678125E-2</v>
      </c>
      <c r="AI113" s="3">
        <v>0.31122712499999999</v>
      </c>
      <c r="AJ113" s="6">
        <v>0.29009735170000001</v>
      </c>
      <c r="AK113" s="4">
        <v>3624.28125</v>
      </c>
      <c r="AL113" t="s">
        <v>90</v>
      </c>
      <c r="AM113" t="s">
        <v>150</v>
      </c>
      <c r="AN113" t="str">
        <f t="shared" si="3"/>
        <v>Moderate Economic Resilience with Poor Affordability.</v>
      </c>
      <c r="AP113" t="s">
        <v>40</v>
      </c>
    </row>
    <row r="114" spans="1:42" x14ac:dyDescent="0.4">
      <c r="A114" t="str">
        <f t="shared" si="2"/>
        <v>MEXICO|2023</v>
      </c>
      <c r="B114" s="1" t="s">
        <v>148</v>
      </c>
      <c r="C114" s="1">
        <v>2023</v>
      </c>
      <c r="D114" s="4">
        <v>106800000000000</v>
      </c>
      <c r="E114" s="3">
        <v>5.1595116189999998E-2</v>
      </c>
      <c r="F114" s="2">
        <v>8090000000</v>
      </c>
      <c r="G114" s="3">
        <v>8.7281795509999999E-3</v>
      </c>
      <c r="H114" s="4">
        <v>1798318000000</v>
      </c>
      <c r="I114" s="3">
        <v>0.22590162480000001</v>
      </c>
      <c r="J114" s="2">
        <v>129739759</v>
      </c>
      <c r="K114" s="3">
        <v>8.7599307620000004E-3</v>
      </c>
      <c r="L114" s="3">
        <v>1.6838183520000001E-2</v>
      </c>
      <c r="M114" s="4">
        <v>674539300000</v>
      </c>
      <c r="N114" s="4">
        <v>648642300000</v>
      </c>
      <c r="O114" s="4">
        <v>-25897000000</v>
      </c>
      <c r="P114" s="3">
        <v>-1.440067886E-2</v>
      </c>
      <c r="Q114" s="3">
        <v>0.45029760000000002</v>
      </c>
      <c r="R114" s="3">
        <v>2.4114930730000001E-2</v>
      </c>
      <c r="S114" s="4">
        <v>809778279437</v>
      </c>
      <c r="T114" s="3">
        <v>6.6292950000000003E-2</v>
      </c>
      <c r="U114" s="4">
        <v>53682590990</v>
      </c>
      <c r="V114" s="3">
        <v>2.985155628E-2</v>
      </c>
      <c r="W114" s="3">
        <v>5.527961E-2</v>
      </c>
      <c r="X114" s="4">
        <v>13860.963009999999</v>
      </c>
      <c r="Y114" s="4">
        <v>13094.73438</v>
      </c>
      <c r="Z114" s="6">
        <v>0.79</v>
      </c>
      <c r="AA114" s="3">
        <v>1.2820512819999999E-2</v>
      </c>
      <c r="AB114" s="6">
        <v>0.41849999999999998</v>
      </c>
      <c r="AC114" s="3">
        <v>-3.9426523300000002E-2</v>
      </c>
      <c r="AD114" s="6">
        <v>0.3715</v>
      </c>
      <c r="AE114" s="3">
        <v>0.17115187500000001</v>
      </c>
      <c r="AF114" s="3">
        <v>4.8151874999999997E-2</v>
      </c>
      <c r="AG114" s="3">
        <v>7.5151875000000007E-2</v>
      </c>
      <c r="AH114" s="3">
        <v>3.3151874999999997E-2</v>
      </c>
      <c r="AI114" s="3">
        <v>0.3276075</v>
      </c>
      <c r="AJ114" s="6">
        <v>0.30019344840000001</v>
      </c>
      <c r="AK114" s="4">
        <v>4864.6938209999998</v>
      </c>
      <c r="AL114" t="s">
        <v>90</v>
      </c>
      <c r="AM114" t="s">
        <v>149</v>
      </c>
      <c r="AN114" t="str">
        <f t="shared" si="3"/>
        <v>Moderate Economic Resilience with Poor Affordability.</v>
      </c>
      <c r="AP114" t="s">
        <v>40</v>
      </c>
    </row>
    <row r="115" spans="1:42" x14ac:dyDescent="0.4">
      <c r="A115" t="str">
        <f t="shared" si="2"/>
        <v>MEXICO|2024</v>
      </c>
      <c r="B115" s="1" t="s">
        <v>148</v>
      </c>
      <c r="C115" s="1">
        <v>2024</v>
      </c>
      <c r="D115" s="4">
        <v>112600000000000</v>
      </c>
      <c r="E115" s="3">
        <v>5.4307116099999997E-2</v>
      </c>
      <c r="F115" s="2">
        <v>8161972572</v>
      </c>
      <c r="G115" s="3">
        <v>8.8964860320000002E-3</v>
      </c>
      <c r="H115" s="4">
        <v>1856366000000</v>
      </c>
      <c r="I115" s="3">
        <v>3.2279051869999999E-2</v>
      </c>
      <c r="J115" s="2">
        <v>130861007</v>
      </c>
      <c r="K115" s="3">
        <v>8.642285207E-3</v>
      </c>
      <c r="L115" s="3">
        <v>1.6486376550000001E-2</v>
      </c>
      <c r="M115" s="4">
        <v>703294100000</v>
      </c>
      <c r="N115" s="4">
        <v>681348700000</v>
      </c>
      <c r="O115" s="4">
        <v>-21945400000</v>
      </c>
      <c r="P115" s="3">
        <v>-1.1821698950000001E-2</v>
      </c>
      <c r="Q115" s="3">
        <v>0.47364879999999998</v>
      </c>
      <c r="R115" s="3">
        <v>5.1857260619999998E-2</v>
      </c>
      <c r="S115" s="4">
        <v>879265528261</v>
      </c>
      <c r="T115" s="3">
        <v>6.022835E-2</v>
      </c>
      <c r="U115" s="4">
        <v>52956711979</v>
      </c>
      <c r="V115" s="3">
        <v>2.85270857E-2</v>
      </c>
      <c r="W115" s="3">
        <v>4.7222559999999997E-2</v>
      </c>
      <c r="X115" s="4">
        <v>14185.784159999999</v>
      </c>
      <c r="Y115" s="4">
        <v>13515.895109999999</v>
      </c>
      <c r="Z115" s="6">
        <v>0.79</v>
      </c>
      <c r="AA115" s="3">
        <v>0</v>
      </c>
      <c r="AB115" s="6">
        <v>0.41025</v>
      </c>
      <c r="AC115" s="3">
        <v>-2.010968921E-2</v>
      </c>
      <c r="AD115" s="6">
        <v>0.37974999999999998</v>
      </c>
      <c r="AE115" s="3">
        <v>0.17546249999999999</v>
      </c>
      <c r="AF115" s="3">
        <v>5.2462500000000002E-2</v>
      </c>
      <c r="AG115" s="3">
        <v>7.9462500000000005E-2</v>
      </c>
      <c r="AH115" s="3">
        <v>3.7462500000000003E-2</v>
      </c>
      <c r="AI115" s="3">
        <v>0.34484999999999999</v>
      </c>
      <c r="AJ115" s="6">
        <v>0.32098759189999998</v>
      </c>
      <c r="AK115" s="4">
        <v>5132.6611700000003</v>
      </c>
      <c r="AL115" t="s">
        <v>94</v>
      </c>
      <c r="AM115" t="s">
        <v>151</v>
      </c>
      <c r="AN115" t="str">
        <f t="shared" si="3"/>
        <v>Satisfactory Economic Resilience with Challenging Affordability.</v>
      </c>
      <c r="AP115" t="s">
        <v>40</v>
      </c>
    </row>
    <row r="116" spans="1:42" x14ac:dyDescent="0.4">
      <c r="A116" t="str">
        <f t="shared" si="2"/>
        <v>MEXICO|2025</v>
      </c>
      <c r="B116" s="1" t="s">
        <v>148</v>
      </c>
      <c r="C116" s="1">
        <v>2025</v>
      </c>
      <c r="D116" s="4">
        <v>113795678000000</v>
      </c>
      <c r="E116" s="3">
        <v>1.061880995E-2</v>
      </c>
      <c r="F116" s="2">
        <v>8231613070</v>
      </c>
      <c r="G116" s="3">
        <v>8.5323121809999999E-3</v>
      </c>
      <c r="H116" s="4">
        <v>1693000000000</v>
      </c>
      <c r="I116" s="3">
        <v>-8.8003120069999996E-2</v>
      </c>
      <c r="J116" s="2">
        <v>132000000</v>
      </c>
      <c r="K116" s="3">
        <v>8.7038379579999995E-3</v>
      </c>
      <c r="L116" s="3">
        <v>1.4877542190000001E-2</v>
      </c>
      <c r="M116" s="4">
        <v>635000000000</v>
      </c>
      <c r="N116" s="4">
        <v>608400000000</v>
      </c>
      <c r="O116" s="4">
        <v>-26600000000</v>
      </c>
      <c r="P116" s="3">
        <v>-1.571175428E-2</v>
      </c>
      <c r="Q116" s="3">
        <v>0.497</v>
      </c>
      <c r="R116" s="3">
        <v>4.9300663279999997E-2</v>
      </c>
      <c r="S116" s="4">
        <v>841421000000</v>
      </c>
      <c r="T116" s="3">
        <v>0.08</v>
      </c>
      <c r="U116" s="4">
        <v>67313680000</v>
      </c>
      <c r="V116" s="3">
        <v>3.9759999999999997E-2</v>
      </c>
      <c r="W116" s="3">
        <v>4.4200000000000003E-2</v>
      </c>
      <c r="X116" s="4">
        <v>12825.75758</v>
      </c>
      <c r="Y116" s="4">
        <v>12258.85909</v>
      </c>
      <c r="Z116" s="6">
        <v>0.78900000000000003</v>
      </c>
      <c r="AA116" s="3">
        <v>-1.2658227849999999E-3</v>
      </c>
      <c r="AB116" s="6">
        <v>0.40200000000000002</v>
      </c>
      <c r="AC116" s="3">
        <v>-2.0522388060000001E-2</v>
      </c>
      <c r="AD116" s="6">
        <v>0.38700000000000001</v>
      </c>
      <c r="AE116" s="3">
        <v>0.18</v>
      </c>
      <c r="AF116" s="3">
        <v>5.7000000000000002E-2</v>
      </c>
      <c r="AG116" s="3">
        <v>8.4000000000000005E-2</v>
      </c>
      <c r="AH116" s="3">
        <v>4.2000000000000003E-2</v>
      </c>
      <c r="AI116" s="3">
        <v>0.36299999999999999</v>
      </c>
      <c r="AJ116" s="6">
        <v>0.32240578790000002</v>
      </c>
      <c r="AK116" s="4">
        <v>4744.1784680000001</v>
      </c>
      <c r="AL116" t="s">
        <v>90</v>
      </c>
      <c r="AM116" t="s">
        <v>152</v>
      </c>
      <c r="AN116" t="str">
        <f t="shared" si="3"/>
        <v>Satisfactory Economic Resilience with Poor Affordability.</v>
      </c>
      <c r="AO116" t="s">
        <v>316</v>
      </c>
      <c r="AP116" t="s">
        <v>40</v>
      </c>
    </row>
    <row r="117" spans="1:42" x14ac:dyDescent="0.4">
      <c r="A117" t="str">
        <f t="shared" si="2"/>
        <v>MEXICO|2026</v>
      </c>
      <c r="B117" s="1" t="s">
        <v>148</v>
      </c>
      <c r="C117" s="1">
        <v>2026</v>
      </c>
      <c r="D117" s="4">
        <v>120063810405112</v>
      </c>
      <c r="E117" s="3">
        <v>5.5082341569999999E-2</v>
      </c>
      <c r="F117" s="2">
        <v>8302201675</v>
      </c>
      <c r="G117" s="3">
        <v>8.575306441E-3</v>
      </c>
      <c r="H117" s="4">
        <v>1868237739254</v>
      </c>
      <c r="I117" s="3">
        <v>0.1035072293</v>
      </c>
      <c r="J117" s="2">
        <v>132988220.5</v>
      </c>
      <c r="K117" s="3">
        <v>7.4865190860000002E-3</v>
      </c>
      <c r="L117" s="3">
        <v>1.5560373549999999E-2</v>
      </c>
      <c r="M117" s="4">
        <v>747802142857</v>
      </c>
      <c r="N117" s="4">
        <v>708561471429</v>
      </c>
      <c r="O117" s="4">
        <v>-39240671429</v>
      </c>
      <c r="P117" s="3">
        <v>-2.1004110239999998E-2</v>
      </c>
      <c r="Q117" s="3">
        <v>0.50395383289999995</v>
      </c>
      <c r="R117" s="3">
        <v>1.3991615589999999E-2</v>
      </c>
      <c r="S117" s="4">
        <v>941505569556</v>
      </c>
      <c r="T117" s="3">
        <v>7.8884659999999995E-2</v>
      </c>
      <c r="U117" s="4">
        <v>74270346743</v>
      </c>
      <c r="V117" s="3">
        <v>3.9754226769999998E-2</v>
      </c>
      <c r="W117" s="3">
        <v>5.7328871429999997E-2</v>
      </c>
      <c r="X117" s="4">
        <v>14048.1445</v>
      </c>
      <c r="Y117" s="4">
        <v>13242.78023</v>
      </c>
      <c r="Z117" s="6">
        <v>0.79372941129999997</v>
      </c>
      <c r="AA117" s="3">
        <v>5.994184116E-3</v>
      </c>
      <c r="AB117" s="6">
        <v>0.39552977039999998</v>
      </c>
      <c r="AC117" s="3">
        <v>-1.6358388370000001E-2</v>
      </c>
      <c r="AD117" s="6">
        <v>0.39819964089999998</v>
      </c>
      <c r="AE117" s="3">
        <v>0.18453749999999999</v>
      </c>
      <c r="AF117" s="3">
        <v>6.1537500000000002E-2</v>
      </c>
      <c r="AG117" s="3">
        <v>8.8537500000000005E-2</v>
      </c>
      <c r="AH117" s="3">
        <v>4.6537500000000002E-2</v>
      </c>
      <c r="AI117" s="3">
        <v>0.38114999999999999</v>
      </c>
      <c r="AJ117" s="6">
        <v>0.3359520365</v>
      </c>
      <c r="AK117" s="4">
        <v>5273.2703330000004</v>
      </c>
      <c r="AL117" t="s">
        <v>94</v>
      </c>
      <c r="AM117" t="s">
        <v>153</v>
      </c>
      <c r="AN117" t="str">
        <f t="shared" si="3"/>
        <v>Satisfactory Economic Resilience with Challenging Affordability.</v>
      </c>
      <c r="AP117" t="s">
        <v>40</v>
      </c>
    </row>
    <row r="118" spans="1:42" x14ac:dyDescent="0.4">
      <c r="A118" t="str">
        <f t="shared" si="2"/>
        <v>MEXICO|2027</v>
      </c>
      <c r="B118" s="1" t="s">
        <v>148</v>
      </c>
      <c r="C118" s="1">
        <v>2027</v>
      </c>
      <c r="D118" s="4">
        <v>125735541889780</v>
      </c>
      <c r="E118" s="3">
        <v>4.7239309379999997E-2</v>
      </c>
      <c r="F118" s="2">
        <v>8372937901</v>
      </c>
      <c r="G118" s="3">
        <v>8.5201768609999996E-3</v>
      </c>
      <c r="H118" s="4">
        <v>2001586747155</v>
      </c>
      <c r="I118" s="3">
        <v>7.1376894440000005E-2</v>
      </c>
      <c r="J118" s="2">
        <v>134017297.59999999</v>
      </c>
      <c r="K118" s="3">
        <v>7.7381068539999999E-3</v>
      </c>
      <c r="L118" s="3">
        <v>1.5919021120000001E-2</v>
      </c>
      <c r="M118" s="4">
        <v>785657746429</v>
      </c>
      <c r="N118" s="4">
        <v>741251025000</v>
      </c>
      <c r="O118" s="4">
        <v>-44406721429</v>
      </c>
      <c r="P118" s="3">
        <v>-2.2185759119999999E-2</v>
      </c>
      <c r="Q118" s="3">
        <v>0.51421107300000002</v>
      </c>
      <c r="R118" s="3">
        <v>2.035353115E-2</v>
      </c>
      <c r="S118" s="4">
        <v>1029238068924</v>
      </c>
      <c r="T118" s="3">
        <v>8.8590718210000002E-2</v>
      </c>
      <c r="U118" s="4">
        <v>91180939739</v>
      </c>
      <c r="V118" s="3">
        <v>4.555432827E-2</v>
      </c>
      <c r="W118" s="3">
        <v>5.9058054999999998E-2</v>
      </c>
      <c r="X118" s="4">
        <v>14935.28659</v>
      </c>
      <c r="Y118" s="4">
        <v>14053.23761</v>
      </c>
      <c r="Z118" s="6">
        <v>0.79776297360000004</v>
      </c>
      <c r="AA118" s="3">
        <v>5.0817851039999997E-3</v>
      </c>
      <c r="AB118" s="6">
        <v>0.38821338129999999</v>
      </c>
      <c r="AC118" s="3">
        <v>-1.8846308339999999E-2</v>
      </c>
      <c r="AD118" s="6">
        <v>0.40954959219999998</v>
      </c>
      <c r="AE118" s="3">
        <v>0.18930187500000001</v>
      </c>
      <c r="AF118" s="3">
        <v>6.6301874999999996E-2</v>
      </c>
      <c r="AG118" s="3">
        <v>9.3301875000000006E-2</v>
      </c>
      <c r="AH118" s="3">
        <v>5.1301874999999997E-2</v>
      </c>
      <c r="AI118" s="3">
        <v>0.40020749999999999</v>
      </c>
      <c r="AJ118" s="6">
        <v>0.3483864337</v>
      </c>
      <c r="AK118" s="4">
        <v>5755.4977339999996</v>
      </c>
      <c r="AL118" t="s">
        <v>94</v>
      </c>
      <c r="AM118" t="s">
        <v>154</v>
      </c>
      <c r="AN118" t="str">
        <f t="shared" si="3"/>
        <v>Satisfactory Economic Resilience with Challenging Affordability.</v>
      </c>
      <c r="AP118" t="s">
        <v>40</v>
      </c>
    </row>
    <row r="119" spans="1:42" x14ac:dyDescent="0.4">
      <c r="A119" t="str">
        <f t="shared" si="2"/>
        <v>MEXICO|2028</v>
      </c>
      <c r="B119" s="1" t="s">
        <v>148</v>
      </c>
      <c r="C119" s="1">
        <v>2028</v>
      </c>
      <c r="D119" s="4">
        <v>131237442252096</v>
      </c>
      <c r="E119" s="3">
        <v>4.375771782E-2</v>
      </c>
      <c r="F119" s="2">
        <v>8443822776</v>
      </c>
      <c r="G119" s="3">
        <v>8.465950178E-3</v>
      </c>
      <c r="H119" s="4">
        <v>2121199113638</v>
      </c>
      <c r="I119" s="3">
        <v>5.9758772209999998E-2</v>
      </c>
      <c r="J119" s="2">
        <v>135061687.90000001</v>
      </c>
      <c r="K119" s="3">
        <v>7.792951912E-3</v>
      </c>
      <c r="L119" s="3">
        <v>1.6163063509999999E-2</v>
      </c>
      <c r="M119" s="4">
        <v>823513350000</v>
      </c>
      <c r="N119" s="4">
        <v>773940578571</v>
      </c>
      <c r="O119" s="4">
        <v>-49572771429</v>
      </c>
      <c r="P119" s="3">
        <v>-2.3370164129999999E-2</v>
      </c>
      <c r="Q119" s="3">
        <v>0.52566823330000001</v>
      </c>
      <c r="R119" s="3">
        <v>2.228104559E-2</v>
      </c>
      <c r="S119" s="4">
        <v>1115046990635</v>
      </c>
      <c r="T119" s="3">
        <v>9.8296776429999996E-2</v>
      </c>
      <c r="U119" s="4">
        <v>109605524746</v>
      </c>
      <c r="V119" s="3">
        <v>5.1671492809999997E-2</v>
      </c>
      <c r="W119" s="3">
        <v>6.0787238569999999E-2</v>
      </c>
      <c r="X119" s="4">
        <v>15705.40948</v>
      </c>
      <c r="Y119" s="4">
        <v>14750.721</v>
      </c>
      <c r="Z119" s="6">
        <v>0.80156172780000001</v>
      </c>
      <c r="AA119" s="3">
        <v>4.7617579819999997E-3</v>
      </c>
      <c r="AB119" s="6">
        <v>0.38063155879999999</v>
      </c>
      <c r="AC119" s="3">
        <v>-1.9919059230000001E-2</v>
      </c>
      <c r="AD119" s="6">
        <v>0.42093016900000002</v>
      </c>
      <c r="AE119" s="3">
        <v>0.19430446879999999</v>
      </c>
      <c r="AF119" s="3">
        <v>7.1304468750000002E-2</v>
      </c>
      <c r="AG119" s="3">
        <v>9.8304468749999999E-2</v>
      </c>
      <c r="AH119" s="3">
        <v>5.6304468750000003E-2</v>
      </c>
      <c r="AI119" s="3">
        <v>0.42021787500000002</v>
      </c>
      <c r="AJ119" s="6">
        <v>0.36133928160000001</v>
      </c>
      <c r="AK119" s="4">
        <v>6209.0234849999997</v>
      </c>
      <c r="AL119" t="s">
        <v>94</v>
      </c>
      <c r="AM119" t="s">
        <v>155</v>
      </c>
      <c r="AN119" t="str">
        <f t="shared" si="3"/>
        <v>Satisfactory Economic Resilience with Challenging Affordability.</v>
      </c>
      <c r="AP119" t="s">
        <v>40</v>
      </c>
    </row>
    <row r="120" spans="1:42" x14ac:dyDescent="0.4">
      <c r="A120" t="str">
        <f t="shared" si="2"/>
        <v>MEXICO|2029</v>
      </c>
      <c r="B120" s="1" t="s">
        <v>148</v>
      </c>
      <c r="C120" s="1">
        <v>2029</v>
      </c>
      <c r="D120" s="4">
        <v>136712479650225</v>
      </c>
      <c r="E120" s="3">
        <v>4.1718562200000003E-2</v>
      </c>
      <c r="F120" s="2">
        <v>8514849364</v>
      </c>
      <c r="G120" s="3">
        <v>8.4116624760000001E-3</v>
      </c>
      <c r="H120" s="4">
        <v>2236678890625</v>
      </c>
      <c r="I120" s="3">
        <v>5.4440800130000001E-2</v>
      </c>
      <c r="J120" s="2">
        <v>136112759.30000001</v>
      </c>
      <c r="K120" s="3">
        <v>7.7821574989999998E-3</v>
      </c>
      <c r="L120" s="3">
        <v>1.6360458800000002E-2</v>
      </c>
      <c r="M120" s="4">
        <v>861368953571</v>
      </c>
      <c r="N120" s="4">
        <v>806630132143</v>
      </c>
      <c r="O120" s="4">
        <v>-54738821429</v>
      </c>
      <c r="P120" s="3">
        <v>-2.4473258840000001E-2</v>
      </c>
      <c r="Q120" s="3">
        <v>0.53760732069999995</v>
      </c>
      <c r="R120" s="3">
        <v>2.2712210090000001E-2</v>
      </c>
      <c r="S120" s="4">
        <v>1202454945651</v>
      </c>
      <c r="T120" s="3">
        <v>0.1080028346</v>
      </c>
      <c r="U120" s="4">
        <v>129868542661</v>
      </c>
      <c r="V120" s="3">
        <v>5.8063114559999997E-2</v>
      </c>
      <c r="W120" s="3">
        <v>6.251642214E-2</v>
      </c>
      <c r="X120" s="4">
        <v>16432.543890000001</v>
      </c>
      <c r="Y120" s="4">
        <v>15405.240040000001</v>
      </c>
      <c r="Z120" s="6">
        <v>0.80527915269999994</v>
      </c>
      <c r="AA120" s="3">
        <v>4.6377275599999998E-3</v>
      </c>
      <c r="AB120" s="6">
        <v>0.37297497140000002</v>
      </c>
      <c r="AC120" s="3">
        <v>-2.0528421299999999E-2</v>
      </c>
      <c r="AD120" s="6">
        <v>0.43230418129999998</v>
      </c>
      <c r="AE120" s="3">
        <v>0.19955719220000001</v>
      </c>
      <c r="AF120" s="3">
        <v>7.6557192189999998E-2</v>
      </c>
      <c r="AG120" s="3">
        <v>0.1035571922</v>
      </c>
      <c r="AH120" s="3">
        <v>6.1557192189999999E-2</v>
      </c>
      <c r="AI120" s="3">
        <v>0.4412287688</v>
      </c>
      <c r="AJ120" s="6">
        <v>0.37505285420000001</v>
      </c>
      <c r="AK120" s="4">
        <v>6659.749683</v>
      </c>
      <c r="AL120" t="s">
        <v>94</v>
      </c>
      <c r="AM120" t="s">
        <v>156</v>
      </c>
      <c r="AN120" t="str">
        <f t="shared" si="3"/>
        <v>Satisfactory Economic Resilience with Challenging Affordability.</v>
      </c>
      <c r="AP120" t="s">
        <v>40</v>
      </c>
    </row>
    <row r="121" spans="1:42" x14ac:dyDescent="0.4">
      <c r="A121" t="str">
        <f t="shared" si="2"/>
        <v>MEXICO|2030</v>
      </c>
      <c r="B121" s="1" t="s">
        <v>148</v>
      </c>
      <c r="C121" s="1">
        <v>2030</v>
      </c>
      <c r="D121" s="4">
        <v>141834754671550</v>
      </c>
      <c r="E121" s="3"/>
      <c r="F121" s="2">
        <v>8586617399</v>
      </c>
      <c r="G121" s="3"/>
      <c r="H121" s="4">
        <v>2359902085331</v>
      </c>
      <c r="I121" s="3"/>
      <c r="J121" s="2">
        <v>137213502.69999999</v>
      </c>
      <c r="K121" s="3"/>
      <c r="L121" s="3">
        <v>1.6638390860000001E-2</v>
      </c>
      <c r="M121" s="4">
        <v>899224557143</v>
      </c>
      <c r="N121" s="4">
        <v>839319685714</v>
      </c>
      <c r="O121" s="4">
        <v>-59904871429</v>
      </c>
      <c r="P121" s="3">
        <v>-2.538447328E-2</v>
      </c>
      <c r="Q121" s="3">
        <v>0.54976944709999997</v>
      </c>
      <c r="R121" s="3"/>
      <c r="S121" s="4">
        <v>1297402064717</v>
      </c>
      <c r="T121" s="3">
        <v>0.1177088929</v>
      </c>
      <c r="U121" s="4">
        <v>152715760628</v>
      </c>
      <c r="V121" s="3">
        <v>6.4712752949999994E-2</v>
      </c>
      <c r="W121" s="3">
        <v>6.4245605710000001E-2</v>
      </c>
      <c r="X121" s="4">
        <v>17198.759880000001</v>
      </c>
      <c r="Y121" s="4">
        <v>16093.815140000001</v>
      </c>
      <c r="Z121" s="6">
        <v>0.80896874649999995</v>
      </c>
      <c r="AA121" s="3"/>
      <c r="AB121" s="6">
        <v>0.3653086841</v>
      </c>
      <c r="AC121" s="3"/>
      <c r="AD121" s="6">
        <v>0.4436600624</v>
      </c>
      <c r="AE121" s="3">
        <v>0.2050725518</v>
      </c>
      <c r="AF121" s="3">
        <v>8.2072551800000004E-2</v>
      </c>
      <c r="AG121" s="3">
        <v>0.1090725518</v>
      </c>
      <c r="AH121" s="3">
        <v>6.7072551800000005E-2</v>
      </c>
      <c r="AI121" s="3">
        <v>0.46329020720000003</v>
      </c>
      <c r="AJ121" s="6">
        <v>0.38983137179999999</v>
      </c>
      <c r="AK121" s="4">
        <v>7140.183027</v>
      </c>
      <c r="AL121" t="s">
        <v>94</v>
      </c>
      <c r="AM121" t="s">
        <v>157</v>
      </c>
      <c r="AN121" t="str">
        <f t="shared" si="3"/>
        <v>Satisfactory Economic Resilience with Challenging Affordability.</v>
      </c>
      <c r="AP121" t="s">
        <v>40</v>
      </c>
    </row>
    <row r="122" spans="1:42" x14ac:dyDescent="0.4">
      <c r="A122" t="str">
        <f t="shared" si="2"/>
        <v>RUSSIA|2019</v>
      </c>
      <c r="B122" s="1" t="s">
        <v>159</v>
      </c>
      <c r="C122" s="1">
        <v>2019</v>
      </c>
      <c r="D122" s="4">
        <v>87700000000000</v>
      </c>
      <c r="E122" s="3"/>
      <c r="F122" s="2">
        <v>7810000000</v>
      </c>
      <c r="G122" s="3"/>
      <c r="H122" s="4">
        <v>1693115000000</v>
      </c>
      <c r="I122" s="3"/>
      <c r="J122" s="2">
        <v>145453291</v>
      </c>
      <c r="K122" s="3"/>
      <c r="L122" s="3">
        <v>1.9305758270000001E-2</v>
      </c>
      <c r="M122" s="4">
        <v>352088700000</v>
      </c>
      <c r="N122" s="4">
        <v>481410700000</v>
      </c>
      <c r="O122" s="4">
        <v>129322000000</v>
      </c>
      <c r="P122" s="3">
        <v>7.6381108190000005E-2</v>
      </c>
      <c r="Q122" s="3">
        <v>0.17276047999999999</v>
      </c>
      <c r="R122" s="3"/>
      <c r="S122" s="4">
        <v>292503360095</v>
      </c>
      <c r="T122" s="3">
        <v>7.2499999999999995E-2</v>
      </c>
      <c r="U122" s="4">
        <v>21206493607</v>
      </c>
      <c r="V122" s="3">
        <v>1.2525134800000001E-2</v>
      </c>
      <c r="W122" s="3">
        <v>4.4720259999999998E-2</v>
      </c>
      <c r="X122" s="4">
        <v>11640.266019999999</v>
      </c>
      <c r="Y122" s="4">
        <v>11119.710290000001</v>
      </c>
      <c r="Z122" s="6">
        <v>0.82</v>
      </c>
      <c r="AA122" s="3"/>
      <c r="AB122" s="7">
        <v>0.35699999999999998</v>
      </c>
      <c r="AC122" s="3"/>
      <c r="AD122" s="6">
        <v>0.46300000000000002</v>
      </c>
      <c r="AE122" s="3">
        <v>0.1475487566</v>
      </c>
      <c r="AF122" s="3">
        <v>3.7548756599999997E-2</v>
      </c>
      <c r="AG122" s="3">
        <v>0.16754875659999999</v>
      </c>
      <c r="AH122" s="3">
        <v>7.5487566020000004E-3</v>
      </c>
      <c r="AI122" s="3">
        <v>0.36019502640000001</v>
      </c>
      <c r="AJ122" s="6">
        <v>0.44335675810000003</v>
      </c>
      <c r="AK122" s="4">
        <v>5148.4258650000002</v>
      </c>
      <c r="AL122" t="s">
        <v>94</v>
      </c>
      <c r="AM122" t="s">
        <v>158</v>
      </c>
      <c r="AN122" t="str">
        <f t="shared" si="3"/>
        <v>Good Economic Resilience with Challenging Affordability.</v>
      </c>
      <c r="AP122" t="s">
        <v>40</v>
      </c>
    </row>
    <row r="123" spans="1:42" x14ac:dyDescent="0.4">
      <c r="A123" t="str">
        <f t="shared" si="2"/>
        <v>RUSSIA|2020</v>
      </c>
      <c r="B123" s="1" t="s">
        <v>159</v>
      </c>
      <c r="C123" s="1">
        <v>2020</v>
      </c>
      <c r="D123" s="4">
        <v>84750000000000</v>
      </c>
      <c r="E123" s="3">
        <v>-3.3637400230000003E-2</v>
      </c>
      <c r="F123" s="2">
        <v>7890000000</v>
      </c>
      <c r="G123" s="3">
        <v>1.0243277849999999E-2</v>
      </c>
      <c r="H123" s="4">
        <v>1493076000000</v>
      </c>
      <c r="I123" s="3">
        <v>-0.11814850139999999</v>
      </c>
      <c r="J123" s="2">
        <v>145245148</v>
      </c>
      <c r="K123" s="3">
        <v>-1.4309954660000001E-3</v>
      </c>
      <c r="L123" s="3">
        <v>1.7617415930000001E-2</v>
      </c>
      <c r="M123" s="4">
        <v>305255200000</v>
      </c>
      <c r="N123" s="4">
        <v>381065600000</v>
      </c>
      <c r="O123" s="4">
        <v>75810400000</v>
      </c>
      <c r="P123" s="3">
        <v>5.0774642420000002E-2</v>
      </c>
      <c r="Q123" s="3">
        <v>0.22992021000000001</v>
      </c>
      <c r="R123" s="3">
        <v>0.33086114370000003</v>
      </c>
      <c r="S123" s="4">
        <v>343288347466</v>
      </c>
      <c r="T123" s="3">
        <v>4.4999999999999998E-2</v>
      </c>
      <c r="U123" s="4">
        <v>15447975636</v>
      </c>
      <c r="V123" s="3">
        <v>1.034640945E-2</v>
      </c>
      <c r="W123" s="3">
        <v>3.3821980000000001E-2</v>
      </c>
      <c r="X123" s="4">
        <v>10279.69623</v>
      </c>
      <c r="Y123" s="4">
        <v>9932.0165479999996</v>
      </c>
      <c r="Z123" s="6">
        <v>0.82</v>
      </c>
      <c r="AA123" s="3">
        <v>0</v>
      </c>
      <c r="AB123" s="6">
        <v>0.33700000000000002</v>
      </c>
      <c r="AC123" s="3">
        <v>-5.934718101E-2</v>
      </c>
      <c r="AD123" s="6">
        <v>0.48299999999999998</v>
      </c>
      <c r="AE123" s="3">
        <v>0.15228816479999999</v>
      </c>
      <c r="AF123" s="3">
        <v>4.2288164840000003E-2</v>
      </c>
      <c r="AG123" s="3">
        <v>0.1722881648</v>
      </c>
      <c r="AH123" s="3">
        <v>1.2288164840000001E-2</v>
      </c>
      <c r="AI123" s="3">
        <v>0.37915265939999998</v>
      </c>
      <c r="AJ123" s="6">
        <v>0.4371983083</v>
      </c>
      <c r="AK123" s="4">
        <v>4797.1639919999998</v>
      </c>
      <c r="AL123" t="s">
        <v>90</v>
      </c>
      <c r="AM123" t="s">
        <v>160</v>
      </c>
      <c r="AN123" t="str">
        <f t="shared" si="3"/>
        <v>Good Economic Resilience with Poor Affordability.</v>
      </c>
      <c r="AP123" t="s">
        <v>40</v>
      </c>
    </row>
    <row r="124" spans="1:42" x14ac:dyDescent="0.4">
      <c r="A124" t="str">
        <f t="shared" si="2"/>
        <v>RUSSIA|2021</v>
      </c>
      <c r="B124" s="1" t="s">
        <v>159</v>
      </c>
      <c r="C124" s="1">
        <v>2021</v>
      </c>
      <c r="D124" s="4">
        <v>96140000000000</v>
      </c>
      <c r="E124" s="3">
        <v>0.13439528019999999</v>
      </c>
      <c r="F124" s="2">
        <v>7950000000</v>
      </c>
      <c r="G124" s="3">
        <v>7.6045627380000001E-3</v>
      </c>
      <c r="H124" s="4">
        <v>1829187000000</v>
      </c>
      <c r="I124" s="3">
        <v>0.22511312219999999</v>
      </c>
      <c r="J124" s="2">
        <v>144746762</v>
      </c>
      <c r="K124" s="3">
        <v>-3.4313435379999999E-3</v>
      </c>
      <c r="L124" s="3">
        <v>1.902628458E-2</v>
      </c>
      <c r="M124" s="4">
        <v>376515700000</v>
      </c>
      <c r="N124" s="4">
        <v>548800300000</v>
      </c>
      <c r="O124" s="4">
        <v>172284600000</v>
      </c>
      <c r="P124" s="3">
        <v>9.4186433649999998E-2</v>
      </c>
      <c r="Q124" s="3">
        <v>0.21028751000000001</v>
      </c>
      <c r="R124" s="3">
        <v>-8.5389187840000005E-2</v>
      </c>
      <c r="S124" s="4">
        <v>384655179554</v>
      </c>
      <c r="T124" s="3">
        <v>5.5E-2</v>
      </c>
      <c r="U124" s="4">
        <v>21156034875</v>
      </c>
      <c r="V124" s="3">
        <v>1.156581305E-2</v>
      </c>
      <c r="W124" s="3">
        <v>6.6944589999999998E-2</v>
      </c>
      <c r="X124" s="4">
        <v>12637.15315</v>
      </c>
      <c r="Y124" s="4">
        <v>11791.164119999999</v>
      </c>
      <c r="Z124" s="6">
        <v>0.82</v>
      </c>
      <c r="AA124" s="3">
        <v>0</v>
      </c>
      <c r="AB124" s="7">
        <v>0.35099999999999998</v>
      </c>
      <c r="AC124" s="3">
        <v>3.9886039890000002E-2</v>
      </c>
      <c r="AD124" s="6">
        <v>0.46899999999999997</v>
      </c>
      <c r="AE124" s="3">
        <v>0.15727701559999999</v>
      </c>
      <c r="AF124" s="3">
        <v>4.7277015630000002E-2</v>
      </c>
      <c r="AG124" s="3">
        <v>0.1772770156</v>
      </c>
      <c r="AH124" s="3">
        <v>1.727701563E-2</v>
      </c>
      <c r="AI124" s="3">
        <v>0.39910806250000003</v>
      </c>
      <c r="AJ124" s="6">
        <v>0.50075496770000005</v>
      </c>
      <c r="AK124" s="4">
        <v>5530.0559709999998</v>
      </c>
      <c r="AL124" t="s">
        <v>94</v>
      </c>
      <c r="AM124" t="s">
        <v>161</v>
      </c>
      <c r="AN124" t="str">
        <f t="shared" si="3"/>
        <v>Good Economic Resilience with Challenging Affordability.</v>
      </c>
      <c r="AP124" t="s">
        <v>40</v>
      </c>
    </row>
    <row r="125" spans="1:42" x14ac:dyDescent="0.4">
      <c r="A125" t="str">
        <f t="shared" si="2"/>
        <v>RUSSIA|2022</v>
      </c>
      <c r="B125" s="1" t="s">
        <v>159</v>
      </c>
      <c r="C125" s="1">
        <v>2022</v>
      </c>
      <c r="D125" s="4">
        <v>101560000000000</v>
      </c>
      <c r="E125" s="3">
        <v>5.6376118160000002E-2</v>
      </c>
      <c r="F125" s="2">
        <v>8020000000</v>
      </c>
      <c r="G125" s="3">
        <v>8.8050314469999991E-3</v>
      </c>
      <c r="H125" s="4">
        <v>2291612000000</v>
      </c>
      <c r="I125" s="3">
        <v>0.25280356790000003</v>
      </c>
      <c r="J125" s="2">
        <v>144236933</v>
      </c>
      <c r="K125" s="3">
        <v>-3.5222135059999999E-3</v>
      </c>
      <c r="L125" s="3">
        <v>2.2564119729999998E-2</v>
      </c>
      <c r="M125" s="4">
        <v>345173700000</v>
      </c>
      <c r="N125" s="4">
        <v>635241800000</v>
      </c>
      <c r="O125" s="4">
        <v>290068100000</v>
      </c>
      <c r="P125" s="3">
        <v>0.12657819040000001</v>
      </c>
      <c r="Q125" s="3">
        <v>0.19288475999999999</v>
      </c>
      <c r="R125" s="3">
        <v>-8.2756935970000001E-2</v>
      </c>
      <c r="S125" s="4">
        <v>442017030633</v>
      </c>
      <c r="T125" s="3">
        <v>9.5000000000000001E-2</v>
      </c>
      <c r="U125" s="4">
        <v>41991617910</v>
      </c>
      <c r="V125" s="3">
        <v>1.83240522E-2</v>
      </c>
      <c r="W125" s="3">
        <v>0.1374368</v>
      </c>
      <c r="X125" s="4">
        <v>15887.830889999999</v>
      </c>
      <c r="Y125" s="4">
        <v>13704.258260000001</v>
      </c>
      <c r="Z125" s="6">
        <v>0.82</v>
      </c>
      <c r="AA125" s="3">
        <v>0</v>
      </c>
      <c r="AB125" s="7">
        <v>0.33899999999999902</v>
      </c>
      <c r="AC125" s="3">
        <v>-3.5398230090000003E-2</v>
      </c>
      <c r="AD125" s="6">
        <v>0.48099999999999998</v>
      </c>
      <c r="AE125" s="3">
        <v>0.16252843750000001</v>
      </c>
      <c r="AF125" s="3">
        <v>5.2528437499999997E-2</v>
      </c>
      <c r="AG125" s="3">
        <v>0.1825284375</v>
      </c>
      <c r="AH125" s="3">
        <v>2.2528437500000002E-2</v>
      </c>
      <c r="AI125" s="3">
        <v>0.42011375000000001</v>
      </c>
      <c r="AJ125" s="6">
        <v>0.55093200789999996</v>
      </c>
      <c r="AK125" s="4">
        <v>6591.7482209999998</v>
      </c>
      <c r="AL125" t="s">
        <v>94</v>
      </c>
      <c r="AM125" t="s">
        <v>162</v>
      </c>
      <c r="AN125" t="str">
        <f t="shared" si="3"/>
        <v>Excellent Economic Resilience with Challenging Affordability.</v>
      </c>
      <c r="AP125" t="s">
        <v>40</v>
      </c>
    </row>
    <row r="126" spans="1:42" x14ac:dyDescent="0.4">
      <c r="A126" t="str">
        <f t="shared" si="2"/>
        <v>RUSSIA|2023</v>
      </c>
      <c r="B126" s="1" t="s">
        <v>159</v>
      </c>
      <c r="C126" s="1">
        <v>2023</v>
      </c>
      <c r="D126" s="4">
        <v>106800000000000</v>
      </c>
      <c r="E126" s="3">
        <v>5.1595116189999998E-2</v>
      </c>
      <c r="F126" s="2">
        <v>8090000000</v>
      </c>
      <c r="G126" s="3">
        <v>8.7281795509999999E-3</v>
      </c>
      <c r="H126" s="4">
        <v>2071506000000</v>
      </c>
      <c r="I126" s="3">
        <v>-9.6048545740000005E-2</v>
      </c>
      <c r="J126" s="2">
        <v>143826130</v>
      </c>
      <c r="K126" s="3">
        <v>-2.8481124179999999E-3</v>
      </c>
      <c r="L126" s="3">
        <v>1.9396123599999999E-2</v>
      </c>
      <c r="M126" s="4">
        <v>379947600000</v>
      </c>
      <c r="N126" s="4">
        <v>465937800000</v>
      </c>
      <c r="O126" s="4">
        <v>85990200000</v>
      </c>
      <c r="P126" s="3">
        <v>4.1510958690000002E-2</v>
      </c>
      <c r="Q126" s="3">
        <v>0.18503222999999999</v>
      </c>
      <c r="R126" s="3">
        <v>-4.0710992410000001E-2</v>
      </c>
      <c r="S126" s="4">
        <v>383295374638</v>
      </c>
      <c r="T126" s="3">
        <v>7.4999999999999997E-2</v>
      </c>
      <c r="U126" s="4">
        <v>28747153098</v>
      </c>
      <c r="V126" s="3">
        <v>1.3877417249999999E-2</v>
      </c>
      <c r="W126" s="5">
        <v>5.8657189999999998E-2</v>
      </c>
      <c r="X126" s="4">
        <v>14402.848770000001</v>
      </c>
      <c r="Y126" s="4">
        <v>13558.01814</v>
      </c>
      <c r="Z126" s="6">
        <v>0.83</v>
      </c>
      <c r="AA126" s="3">
        <v>1.219512195E-2</v>
      </c>
      <c r="AB126" s="6">
        <v>0.33</v>
      </c>
      <c r="AC126" s="3">
        <v>-2.7272727270000002E-2</v>
      </c>
      <c r="AD126" s="6">
        <v>0.5</v>
      </c>
      <c r="AE126" s="3">
        <v>0.16805624999999999</v>
      </c>
      <c r="AF126" s="3">
        <v>5.8056249999999997E-2</v>
      </c>
      <c r="AG126" s="3">
        <v>0.18805625000000001</v>
      </c>
      <c r="AH126" s="3">
        <v>2.8056250000000001E-2</v>
      </c>
      <c r="AI126" s="3">
        <v>0.44222499999999998</v>
      </c>
      <c r="AJ126" s="6">
        <v>0.48925466499999998</v>
      </c>
      <c r="AK126" s="4">
        <v>6779.0090680000003</v>
      </c>
      <c r="AL126" t="s">
        <v>94</v>
      </c>
      <c r="AM126" t="s">
        <v>163</v>
      </c>
      <c r="AN126" t="str">
        <f t="shared" si="3"/>
        <v>Good Economic Resilience with Challenging Affordability.</v>
      </c>
      <c r="AP126" t="s">
        <v>40</v>
      </c>
    </row>
    <row r="127" spans="1:42" x14ac:dyDescent="0.4">
      <c r="A127" t="str">
        <f t="shared" si="2"/>
        <v>RUSSIA|2024</v>
      </c>
      <c r="B127" s="1" t="s">
        <v>159</v>
      </c>
      <c r="C127" s="1">
        <v>2024</v>
      </c>
      <c r="D127" s="4">
        <v>112600000000000</v>
      </c>
      <c r="E127" s="3">
        <v>5.4307116099999997E-2</v>
      </c>
      <c r="F127" s="2">
        <v>8161972572</v>
      </c>
      <c r="G127" s="3">
        <v>8.8964860320000002E-3</v>
      </c>
      <c r="H127" s="4">
        <v>2173836000000</v>
      </c>
      <c r="I127" s="3">
        <v>4.9398843159999997E-2</v>
      </c>
      <c r="J127" s="2">
        <v>143533851</v>
      </c>
      <c r="K127" s="3">
        <v>-2.032168981E-3</v>
      </c>
      <c r="L127" s="3">
        <v>1.9305825929999999E-2</v>
      </c>
      <c r="M127" s="4">
        <v>382411700000</v>
      </c>
      <c r="N127" s="4">
        <v>476430900000</v>
      </c>
      <c r="O127" s="4">
        <v>94019200000</v>
      </c>
      <c r="P127" s="3">
        <v>4.3250364790000002E-2</v>
      </c>
      <c r="Q127" s="5">
        <v>0.18751611499999901</v>
      </c>
      <c r="R127" s="3">
        <v>1.3424066720000001E-2</v>
      </c>
      <c r="S127" s="4">
        <v>407629281367</v>
      </c>
      <c r="T127" s="3">
        <v>0.16</v>
      </c>
      <c r="U127" s="4">
        <v>65220685019</v>
      </c>
      <c r="V127" s="3">
        <v>3.00025784E-2</v>
      </c>
      <c r="W127" s="3">
        <v>8.4348639999999905E-2</v>
      </c>
      <c r="X127" s="4">
        <v>15145.110259999999</v>
      </c>
      <c r="Y127" s="4">
        <v>13867.640810000001</v>
      </c>
      <c r="Z127" s="6">
        <v>0.83099999999999996</v>
      </c>
      <c r="AA127" s="3">
        <v>1.204819277E-3</v>
      </c>
      <c r="AB127" s="6">
        <v>0.34499999999999997</v>
      </c>
      <c r="AC127" s="3">
        <v>4.347826087E-2</v>
      </c>
      <c r="AD127" s="6">
        <v>0.48599999999999999</v>
      </c>
      <c r="AE127" s="3">
        <v>0.173875</v>
      </c>
      <c r="AF127" s="3">
        <v>6.3875000000000001E-2</v>
      </c>
      <c r="AG127" s="3">
        <v>0.19387499999999999</v>
      </c>
      <c r="AH127" s="3">
        <v>3.3875000000000002E-2</v>
      </c>
      <c r="AI127" s="3">
        <v>0.46550000000000002</v>
      </c>
      <c r="AJ127" s="6">
        <v>0.4980536123</v>
      </c>
      <c r="AK127" s="4">
        <v>6739.6734340000003</v>
      </c>
      <c r="AL127" t="s">
        <v>94</v>
      </c>
      <c r="AM127" t="s">
        <v>161</v>
      </c>
      <c r="AN127" t="str">
        <f t="shared" si="3"/>
        <v>Good Economic Resilience with Challenging Affordability.</v>
      </c>
      <c r="AP127" t="s">
        <v>40</v>
      </c>
    </row>
    <row r="128" spans="1:42" x14ac:dyDescent="0.4">
      <c r="A128" t="str">
        <f t="shared" si="2"/>
        <v>RUSSIA|2025</v>
      </c>
      <c r="B128" s="1" t="s">
        <v>159</v>
      </c>
      <c r="C128" s="1">
        <v>2025</v>
      </c>
      <c r="D128" s="4">
        <v>113795678000000</v>
      </c>
      <c r="E128" s="3">
        <v>1.061880995E-2</v>
      </c>
      <c r="F128" s="2">
        <v>8231613070</v>
      </c>
      <c r="G128" s="3">
        <v>8.5323121809999999E-3</v>
      </c>
      <c r="H128" s="4">
        <v>2076000000000</v>
      </c>
      <c r="I128" s="3">
        <v>-4.5006155020000001E-2</v>
      </c>
      <c r="J128" s="2">
        <v>146300000</v>
      </c>
      <c r="K128" s="3">
        <v>1.9271753530000001E-2</v>
      </c>
      <c r="L128" s="3">
        <v>1.8243223610000001E-2</v>
      </c>
      <c r="M128" s="4">
        <v>451500000000</v>
      </c>
      <c r="N128" s="4">
        <v>537930000000</v>
      </c>
      <c r="O128" s="4">
        <v>86430000000</v>
      </c>
      <c r="P128" s="3">
        <v>4.1632947980000001E-2</v>
      </c>
      <c r="Q128" s="3">
        <v>0.19</v>
      </c>
      <c r="R128" s="3">
        <v>1.32462482E-2</v>
      </c>
      <c r="S128" s="4">
        <v>394440000000</v>
      </c>
      <c r="T128" s="3">
        <v>0.19</v>
      </c>
      <c r="U128" s="4">
        <v>74943600000</v>
      </c>
      <c r="V128" s="3">
        <v>3.61E-2</v>
      </c>
      <c r="W128" s="3">
        <v>7.9000000000000001E-2</v>
      </c>
      <c r="X128" s="4">
        <v>14190.02051</v>
      </c>
      <c r="Y128" s="4">
        <v>13069.008889999999</v>
      </c>
      <c r="Z128" s="6">
        <v>0.83199999999999996</v>
      </c>
      <c r="AA128" s="3">
        <v>1.2033694339999999E-3</v>
      </c>
      <c r="AB128" s="6">
        <v>0.36</v>
      </c>
      <c r="AC128" s="3">
        <v>4.1666666669999998E-2</v>
      </c>
      <c r="AD128" s="6">
        <v>0.47199999999999998</v>
      </c>
      <c r="AE128" s="3">
        <v>0.18</v>
      </c>
      <c r="AF128" s="3">
        <v>7.0000000000000007E-2</v>
      </c>
      <c r="AG128" s="3">
        <v>0.2</v>
      </c>
      <c r="AH128" s="3">
        <v>0.04</v>
      </c>
      <c r="AI128" s="3">
        <v>0.49</v>
      </c>
      <c r="AJ128" s="6">
        <v>0.5137761716</v>
      </c>
      <c r="AK128" s="4">
        <v>6168.5721940000003</v>
      </c>
      <c r="AL128" t="s">
        <v>94</v>
      </c>
      <c r="AM128" t="s">
        <v>164</v>
      </c>
      <c r="AN128" t="str">
        <f t="shared" si="3"/>
        <v>Excellent Economic Resilience with Challenging Affordability.</v>
      </c>
      <c r="AO128" t="s">
        <v>317</v>
      </c>
      <c r="AP128" t="s">
        <v>40</v>
      </c>
    </row>
    <row r="129" spans="1:42" x14ac:dyDescent="0.4">
      <c r="A129" t="str">
        <f t="shared" si="2"/>
        <v>RUSSIA|2026</v>
      </c>
      <c r="B129" s="1" t="s">
        <v>159</v>
      </c>
      <c r="C129" s="1">
        <v>2026</v>
      </c>
      <c r="D129" s="4">
        <v>120063810405112</v>
      </c>
      <c r="E129" s="3">
        <v>5.5082341569999999E-2</v>
      </c>
      <c r="F129" s="2">
        <v>8302201675</v>
      </c>
      <c r="G129" s="3">
        <v>8.575306441E-3</v>
      </c>
      <c r="H129" s="4">
        <v>2254442433275</v>
      </c>
      <c r="I129" s="3">
        <v>8.5954929319999998E-2</v>
      </c>
      <c r="J129" s="2">
        <v>145476021.19999999</v>
      </c>
      <c r="K129" s="3">
        <v>-5.6321174379999998E-3</v>
      </c>
      <c r="L129" s="3">
        <v>1.877703553E-2</v>
      </c>
      <c r="M129" s="4">
        <v>435553057143</v>
      </c>
      <c r="N129" s="4">
        <v>543463300000</v>
      </c>
      <c r="O129" s="4">
        <v>107910242857</v>
      </c>
      <c r="P129" s="3">
        <v>4.7865601389999998E-2</v>
      </c>
      <c r="Q129" s="3">
        <v>0.19092946720000001</v>
      </c>
      <c r="R129" s="3">
        <v>4.8919326690000002E-3</v>
      </c>
      <c r="S129" s="4">
        <v>430439492634</v>
      </c>
      <c r="T129" s="3">
        <v>0.185</v>
      </c>
      <c r="U129" s="4">
        <v>79631306137</v>
      </c>
      <c r="V129" s="3">
        <v>3.5321951429999998E-2</v>
      </c>
      <c r="W129" s="3">
        <v>0.1000763714</v>
      </c>
      <c r="X129" s="4">
        <v>15497.00366</v>
      </c>
      <c r="Y129" s="4">
        <v>13946.119769999999</v>
      </c>
      <c r="Z129" s="6">
        <v>0.83422678189999999</v>
      </c>
      <c r="AA129" s="3">
        <v>2.676420577E-3</v>
      </c>
      <c r="AB129" s="6">
        <v>0.35316181340000002</v>
      </c>
      <c r="AC129" s="3">
        <v>-1.9362757509999998E-2</v>
      </c>
      <c r="AD129" s="6">
        <v>0.48106496850000002</v>
      </c>
      <c r="AE129" s="3">
        <v>0.18612500000000001</v>
      </c>
      <c r="AF129" s="3">
        <v>7.6124999999999998E-2</v>
      </c>
      <c r="AG129" s="3">
        <v>0.206125</v>
      </c>
      <c r="AH129" s="3">
        <v>4.6124999999999999E-2</v>
      </c>
      <c r="AI129" s="3">
        <v>0.51449999999999996</v>
      </c>
      <c r="AJ129" s="6">
        <v>0.54582068549999996</v>
      </c>
      <c r="AK129" s="4">
        <v>6708.9896650000001</v>
      </c>
      <c r="AL129" t="s">
        <v>94</v>
      </c>
      <c r="AM129" t="s">
        <v>162</v>
      </c>
      <c r="AN129" t="str">
        <f t="shared" si="3"/>
        <v>Excellent Economic Resilience with Challenging Affordability.</v>
      </c>
      <c r="AP129" t="s">
        <v>40</v>
      </c>
    </row>
    <row r="130" spans="1:42" x14ac:dyDescent="0.4">
      <c r="A130" t="str">
        <f t="shared" si="2"/>
        <v>RUSSIA|2027</v>
      </c>
      <c r="B130" s="1" t="s">
        <v>159</v>
      </c>
      <c r="C130" s="1">
        <v>2027</v>
      </c>
      <c r="D130" s="4">
        <v>125735541889780</v>
      </c>
      <c r="E130" s="3">
        <v>4.7239309379999997E-2</v>
      </c>
      <c r="F130" s="2">
        <v>8372937901</v>
      </c>
      <c r="G130" s="3">
        <v>8.5201768609999996E-3</v>
      </c>
      <c r="H130" s="4">
        <v>2382029021817</v>
      </c>
      <c r="I130" s="3">
        <v>5.6593411590000003E-2</v>
      </c>
      <c r="J130" s="2">
        <v>145205105.80000001</v>
      </c>
      <c r="K130" s="3">
        <v>-1.8622687550000001E-3</v>
      </c>
      <c r="L130" s="3">
        <v>1.8944754889999998E-2</v>
      </c>
      <c r="M130" s="4">
        <v>451838014286</v>
      </c>
      <c r="N130" s="4">
        <v>553371371429</v>
      </c>
      <c r="O130" s="4">
        <v>101533357143</v>
      </c>
      <c r="P130" s="3">
        <v>4.2624735560000002E-2</v>
      </c>
      <c r="Q130" s="3">
        <v>0.1910372645</v>
      </c>
      <c r="R130" s="3">
        <v>5.6459213420000001E-4</v>
      </c>
      <c r="S130" s="4">
        <v>455056308246</v>
      </c>
      <c r="T130" s="3">
        <v>0.20651785710000001</v>
      </c>
      <c r="U130" s="4">
        <v>93977253658</v>
      </c>
      <c r="V130" s="3">
        <v>3.9452606500000001E-2</v>
      </c>
      <c r="W130" s="3">
        <v>0.1070622693</v>
      </c>
      <c r="X130" s="4">
        <v>16404.581709999999</v>
      </c>
      <c r="Y130" s="4">
        <v>14648.26996</v>
      </c>
      <c r="Z130" s="6">
        <v>0.83652117319999997</v>
      </c>
      <c r="AA130" s="3">
        <v>2.7503208069999999E-3</v>
      </c>
      <c r="AB130" s="6">
        <v>0.35106606219999997</v>
      </c>
      <c r="AC130" s="3">
        <v>-5.9696777080000003E-3</v>
      </c>
      <c r="AD130" s="6">
        <v>0.48545511099999999</v>
      </c>
      <c r="AE130" s="3">
        <v>0.19255625000000001</v>
      </c>
      <c r="AF130" s="3">
        <v>8.2556249999999998E-2</v>
      </c>
      <c r="AG130" s="3">
        <v>0.21255625</v>
      </c>
      <c r="AH130" s="3">
        <v>5.2556249999999999E-2</v>
      </c>
      <c r="AI130" s="3">
        <v>0.54022499999999996</v>
      </c>
      <c r="AJ130" s="6">
        <v>0.56234188389999995</v>
      </c>
      <c r="AK130" s="4">
        <v>7111.0775210000002</v>
      </c>
      <c r="AL130" t="s">
        <v>94</v>
      </c>
      <c r="AM130" t="s">
        <v>165</v>
      </c>
      <c r="AN130" t="str">
        <f t="shared" si="3"/>
        <v>Excellent Economic Resilience with Challenging Affordability.</v>
      </c>
      <c r="AP130" t="s">
        <v>40</v>
      </c>
    </row>
    <row r="131" spans="1:42" x14ac:dyDescent="0.4">
      <c r="A131" t="str">
        <f t="shared" ref="A131:A194" si="4">_xlfn.CONCAT(UPPER(B131),"|",C131)</f>
        <v>RUSSIA|2028</v>
      </c>
      <c r="B131" s="1" t="s">
        <v>159</v>
      </c>
      <c r="C131" s="1">
        <v>2028</v>
      </c>
      <c r="D131" s="4">
        <v>131237442252096</v>
      </c>
      <c r="E131" s="3">
        <v>4.375771782E-2</v>
      </c>
      <c r="F131" s="2">
        <v>8443822776</v>
      </c>
      <c r="G131" s="3">
        <v>8.465950178E-3</v>
      </c>
      <c r="H131" s="4">
        <v>2492513890856</v>
      </c>
      <c r="I131" s="3">
        <v>4.638267125E-2</v>
      </c>
      <c r="J131" s="2">
        <v>145122425.69999999</v>
      </c>
      <c r="K131" s="3">
        <v>-5.6940207609999999E-4</v>
      </c>
      <c r="L131" s="3">
        <v>1.8992399180000001E-2</v>
      </c>
      <c r="M131" s="4">
        <v>468122971429</v>
      </c>
      <c r="N131" s="4">
        <v>563279442857</v>
      </c>
      <c r="O131" s="4">
        <v>95156471429</v>
      </c>
      <c r="P131" s="3">
        <v>3.8176907170000003E-2</v>
      </c>
      <c r="Q131" s="3">
        <v>0.19085956570000001</v>
      </c>
      <c r="R131" s="3">
        <v>-9.3017878529999998E-4</v>
      </c>
      <c r="S131" s="4">
        <v>475720118640</v>
      </c>
      <c r="T131" s="3">
        <v>0.2280357143</v>
      </c>
      <c r="U131" s="4">
        <v>108481177054</v>
      </c>
      <c r="V131" s="3">
        <v>4.352279739E-2</v>
      </c>
      <c r="W131" s="3">
        <v>0.1140481671</v>
      </c>
      <c r="X131" s="4">
        <v>17175.249650000002</v>
      </c>
      <c r="Y131" s="4">
        <v>15216.44391</v>
      </c>
      <c r="Z131" s="6">
        <v>0.83883957229999995</v>
      </c>
      <c r="AA131" s="3">
        <v>2.7714768530000002E-3</v>
      </c>
      <c r="AB131" s="6">
        <v>0.35058719939999999</v>
      </c>
      <c r="AC131" s="3">
        <v>-1.365887889E-3</v>
      </c>
      <c r="AD131" s="6">
        <v>0.48825237290000001</v>
      </c>
      <c r="AE131" s="3">
        <v>0.19930906249999999</v>
      </c>
      <c r="AF131" s="3">
        <v>8.9309062499999994E-2</v>
      </c>
      <c r="AG131" s="3">
        <v>0.21930906250000001</v>
      </c>
      <c r="AH131" s="3">
        <v>5.9309062500000002E-2</v>
      </c>
      <c r="AI131" s="3">
        <v>0.56723625</v>
      </c>
      <c r="AJ131" s="6">
        <v>0.58088275899999997</v>
      </c>
      <c r="AK131" s="4">
        <v>7429.4648440000001</v>
      </c>
      <c r="AL131" t="s">
        <v>94</v>
      </c>
      <c r="AM131" t="s">
        <v>166</v>
      </c>
      <c r="AN131" t="str">
        <f t="shared" ref="AN131:AN194" si="5">_xlfn.CONCAT(_xlfn.IFS(
AJ131&gt;=0.7,"Superb",
AJ131&gt;=0.51,"Excellent",
AJ131&gt;=0.41,"Good",
AJ131&gt;=0.31,"Satisfactory",
AJ131&gt;=0.26,"Moderate",
AJ131&gt;=0.1,"Weak",
AJ131&lt;0.1,"Very Weak"
), " Economic Resilience with ",_xlfn.IFS(
AK131&lt;=2500,"Very Weak",
AK131&lt;=5000,"Poor",
AK131&lt;=10000,"Challenging",
AK131&lt;=12500,"Border Line",
AK131&lt;=15000,"Improved",
AK131&lt;=20000,"Moderate",
AK131&lt;=25000,"Satisfactory",
AK131&lt;=30000,"Good",
AK131&lt;=35000,"Very Good",
AK131&lt;=40000,"High",
AK131&lt;=50000,"Excellent",
AK131&lt;=100000,"Superb",
AK131&gt;100000,"Superb"
), " Affordability.")</f>
        <v>Excellent Economic Resilience with Challenging Affordability.</v>
      </c>
      <c r="AP131" t="s">
        <v>40</v>
      </c>
    </row>
    <row r="132" spans="1:42" x14ac:dyDescent="0.4">
      <c r="A132" t="str">
        <f t="shared" si="4"/>
        <v>RUSSIA|2029</v>
      </c>
      <c r="B132" s="1" t="s">
        <v>159</v>
      </c>
      <c r="C132" s="1">
        <v>2029</v>
      </c>
      <c r="D132" s="4">
        <v>136712479650225</v>
      </c>
      <c r="E132" s="3">
        <v>4.1718562200000003E-2</v>
      </c>
      <c r="F132" s="2">
        <v>8514849364</v>
      </c>
      <c r="G132" s="3">
        <v>8.4116624760000001E-3</v>
      </c>
      <c r="H132" s="4">
        <v>2597394845102</v>
      </c>
      <c r="I132" s="3">
        <v>4.2078383050000001E-2</v>
      </c>
      <c r="J132" s="2">
        <v>145106665.30000001</v>
      </c>
      <c r="K132" s="3">
        <v>-1.086008778E-4</v>
      </c>
      <c r="L132" s="3">
        <v>1.8998959360000001E-2</v>
      </c>
      <c r="M132" s="4">
        <v>484407928571</v>
      </c>
      <c r="N132" s="4">
        <v>573187514286</v>
      </c>
      <c r="O132" s="4">
        <v>88779585714</v>
      </c>
      <c r="P132" s="3">
        <v>3.4180242520000001E-2</v>
      </c>
      <c r="Q132" s="3">
        <v>0.19057810629999999</v>
      </c>
      <c r="R132" s="3">
        <v>-1.474693656E-3</v>
      </c>
      <c r="S132" s="4">
        <v>495006590844</v>
      </c>
      <c r="T132" s="3">
        <v>0.24955357140000001</v>
      </c>
      <c r="U132" s="4">
        <v>123530662626</v>
      </c>
      <c r="V132" s="3">
        <v>4.7559447060000003E-2</v>
      </c>
      <c r="W132" s="3">
        <v>0.121034065</v>
      </c>
      <c r="X132" s="4">
        <v>17899.90033</v>
      </c>
      <c r="Y132" s="4">
        <v>15733.40263</v>
      </c>
      <c r="Z132" s="6">
        <v>0.84116740170000004</v>
      </c>
      <c r="AA132" s="3">
        <v>2.7750592139999999E-3</v>
      </c>
      <c r="AB132" s="6">
        <v>0.35068230109999998</v>
      </c>
      <c r="AC132" s="3">
        <v>2.711905601E-4</v>
      </c>
      <c r="AD132" s="6">
        <v>0.4904851006</v>
      </c>
      <c r="AE132" s="3">
        <v>0.2063995156</v>
      </c>
      <c r="AF132" s="3">
        <v>9.6399515630000002E-2</v>
      </c>
      <c r="AG132" s="3">
        <v>0.22639951559999999</v>
      </c>
      <c r="AH132" s="3">
        <v>6.6399515630000003E-2</v>
      </c>
      <c r="AI132" s="3">
        <v>0.59559806250000003</v>
      </c>
      <c r="AJ132" s="6">
        <v>0.60121781730000001</v>
      </c>
      <c r="AK132" s="4">
        <v>7716.9995719999997</v>
      </c>
      <c r="AL132" t="s">
        <v>94</v>
      </c>
      <c r="AM132" t="s">
        <v>167</v>
      </c>
      <c r="AN132" t="str">
        <f t="shared" si="5"/>
        <v>Excellent Economic Resilience with Challenging Affordability.</v>
      </c>
      <c r="AP132" t="s">
        <v>40</v>
      </c>
    </row>
    <row r="133" spans="1:42" x14ac:dyDescent="0.4">
      <c r="A133" t="str">
        <f t="shared" si="4"/>
        <v>RUSSIA|2030</v>
      </c>
      <c r="B133" s="1" t="s">
        <v>159</v>
      </c>
      <c r="C133" s="1">
        <v>2030</v>
      </c>
      <c r="D133" s="4">
        <v>141834754671550</v>
      </c>
      <c r="E133" s="3"/>
      <c r="F133" s="2">
        <v>8586617399</v>
      </c>
      <c r="G133" s="3"/>
      <c r="H133" s="4">
        <v>2665215396908</v>
      </c>
      <c r="I133" s="3"/>
      <c r="J133" s="2">
        <v>145363960.59999999</v>
      </c>
      <c r="K133" s="3"/>
      <c r="L133" s="3">
        <v>1.879098958E-2</v>
      </c>
      <c r="M133" s="4">
        <v>500692885714</v>
      </c>
      <c r="N133" s="4">
        <v>583095585714</v>
      </c>
      <c r="O133" s="4">
        <v>82402700000</v>
      </c>
      <c r="P133" s="3">
        <v>3.09178388E-2</v>
      </c>
      <c r="Q133" s="3">
        <v>0.1902574226</v>
      </c>
      <c r="R133" s="3"/>
      <c r="S133" s="4">
        <v>507077012058</v>
      </c>
      <c r="T133" s="3">
        <v>0.2710714286</v>
      </c>
      <c r="U133" s="4">
        <v>137454090054</v>
      </c>
      <c r="V133" s="3">
        <v>5.1573351339999997E-2</v>
      </c>
      <c r="W133" s="3">
        <v>0.12801996290000001</v>
      </c>
      <c r="X133" s="4">
        <v>18334.77421</v>
      </c>
      <c r="Y133" s="4">
        <v>15987.5571</v>
      </c>
      <c r="Z133" s="6">
        <v>0.84349951769999998</v>
      </c>
      <c r="AA133" s="3"/>
      <c r="AB133" s="6">
        <v>0.35098817630000001</v>
      </c>
      <c r="AC133" s="3"/>
      <c r="AD133" s="6">
        <v>0.49251134140000002</v>
      </c>
      <c r="AE133" s="3">
        <v>0.2138444914</v>
      </c>
      <c r="AF133" s="3">
        <v>0.1038444914</v>
      </c>
      <c r="AG133" s="3">
        <v>0.23384449139999999</v>
      </c>
      <c r="AH133" s="3">
        <v>7.3844491410000004E-2</v>
      </c>
      <c r="AI133" s="3">
        <v>0.62537796560000003</v>
      </c>
      <c r="AJ133" s="6">
        <v>0.62351344269999998</v>
      </c>
      <c r="AK133" s="4">
        <v>7874.0531920000003</v>
      </c>
      <c r="AL133" t="s">
        <v>94</v>
      </c>
      <c r="AM133" t="s">
        <v>95</v>
      </c>
      <c r="AN133" t="str">
        <f t="shared" si="5"/>
        <v>Excellent Economic Resilience with Challenging Affordability.</v>
      </c>
      <c r="AP133" t="s">
        <v>40</v>
      </c>
    </row>
    <row r="134" spans="1:42" x14ac:dyDescent="0.4">
      <c r="A134" t="str">
        <f t="shared" si="4"/>
        <v>SAUDI ARABIA|2019</v>
      </c>
      <c r="B134" s="1" t="s">
        <v>300</v>
      </c>
      <c r="C134" s="1">
        <v>2019</v>
      </c>
      <c r="D134" s="4">
        <v>87700000000000</v>
      </c>
      <c r="E134" s="3"/>
      <c r="F134" s="2">
        <v>7810000000</v>
      </c>
      <c r="G134" s="3"/>
      <c r="H134" s="4">
        <v>888890100000</v>
      </c>
      <c r="I134" s="3"/>
      <c r="J134" s="2">
        <v>30063799</v>
      </c>
      <c r="K134" s="3"/>
      <c r="L134" s="3">
        <v>1.0135576970000001E-2</v>
      </c>
      <c r="M134" s="4">
        <v>218974700000</v>
      </c>
      <c r="N134" s="4">
        <v>285860000000</v>
      </c>
      <c r="O134" s="4">
        <v>66885300000</v>
      </c>
      <c r="P134" s="3">
        <v>7.5245859979999996E-2</v>
      </c>
      <c r="Q134" s="3">
        <v>0.20300000000000001</v>
      </c>
      <c r="R134" s="3"/>
      <c r="S134" s="4">
        <v>180444690300</v>
      </c>
      <c r="T134" s="3">
        <v>2.2499999999999999E-2</v>
      </c>
      <c r="U134" s="4">
        <v>4060005532</v>
      </c>
      <c r="V134" s="3">
        <v>4.5675000000000004E-3</v>
      </c>
      <c r="W134" s="3">
        <v>-1.192986E-2</v>
      </c>
      <c r="X134" s="4">
        <v>29566.792270000002</v>
      </c>
      <c r="Y134" s="4">
        <v>29919.519970000001</v>
      </c>
      <c r="Z134" s="6">
        <v>0.86</v>
      </c>
      <c r="AA134" s="3"/>
      <c r="AB134" s="6">
        <v>0.45600000000000002</v>
      </c>
      <c r="AC134" s="3"/>
      <c r="AD134" s="6">
        <v>0.40400000000000003</v>
      </c>
      <c r="AE134" s="3">
        <v>7.430335113E-2</v>
      </c>
      <c r="AF134" s="3">
        <v>0.21330335110000001</v>
      </c>
      <c r="AG134" s="3">
        <v>0.17730335110000001</v>
      </c>
      <c r="AH134" s="3">
        <v>4.230335113E-2</v>
      </c>
      <c r="AI134" s="3">
        <v>0.50721340449999996</v>
      </c>
      <c r="AJ134" s="6">
        <v>0.58802734150000002</v>
      </c>
      <c r="AK134" s="4">
        <v>12087.486070000001</v>
      </c>
      <c r="AL134" t="s">
        <v>168</v>
      </c>
      <c r="AM134" t="s">
        <v>169</v>
      </c>
      <c r="AN134" t="str">
        <f t="shared" si="5"/>
        <v>Excellent Economic Resilience with Border Line Affordability.</v>
      </c>
      <c r="AP134" t="s">
        <v>40</v>
      </c>
    </row>
    <row r="135" spans="1:42" x14ac:dyDescent="0.4">
      <c r="A135" t="str">
        <f t="shared" si="4"/>
        <v>SAUDI ARABIA|2020</v>
      </c>
      <c r="B135" s="1" t="s">
        <v>300</v>
      </c>
      <c r="C135" s="1">
        <v>2020</v>
      </c>
      <c r="D135" s="4">
        <v>84750000000000</v>
      </c>
      <c r="E135" s="3">
        <v>-3.3637400230000003E-2</v>
      </c>
      <c r="F135" s="2">
        <v>7890000000</v>
      </c>
      <c r="G135" s="3">
        <v>1.0243277849999999E-2</v>
      </c>
      <c r="H135" s="4">
        <v>767951200000</v>
      </c>
      <c r="I135" s="3">
        <v>-0.13605607710000001</v>
      </c>
      <c r="J135" s="2">
        <v>31552510</v>
      </c>
      <c r="K135" s="3">
        <v>4.9518392539999997E-2</v>
      </c>
      <c r="L135" s="3">
        <v>9.0613710909999996E-3</v>
      </c>
      <c r="M135" s="4">
        <v>182183700000</v>
      </c>
      <c r="N135" s="4">
        <v>182847700000</v>
      </c>
      <c r="O135" s="4">
        <v>664000000</v>
      </c>
      <c r="P135" s="3">
        <v>8.6463827390000005E-4</v>
      </c>
      <c r="Q135" s="3">
        <v>0.29599999999999999</v>
      </c>
      <c r="R135" s="3">
        <v>0.4581280788</v>
      </c>
      <c r="S135" s="4">
        <v>227313555200</v>
      </c>
      <c r="T135" s="3">
        <v>0.01</v>
      </c>
      <c r="U135" s="4">
        <v>2273135552</v>
      </c>
      <c r="V135" s="3">
        <v>2.96E-3</v>
      </c>
      <c r="W135" s="3">
        <v>3.3723499999999997E-2</v>
      </c>
      <c r="X135" s="4">
        <v>24338.830730000001</v>
      </c>
      <c r="Y135" s="4">
        <v>23518.04017</v>
      </c>
      <c r="Z135" s="6">
        <v>0.85</v>
      </c>
      <c r="AA135" s="3">
        <v>-1.162790698E-2</v>
      </c>
      <c r="AB135" s="6">
        <v>0.45900000000000002</v>
      </c>
      <c r="AC135" s="3">
        <v>6.535947712E-3</v>
      </c>
      <c r="AD135" s="6">
        <v>0.39100000000000001</v>
      </c>
      <c r="AE135" s="3">
        <v>8.0977211719999997E-2</v>
      </c>
      <c r="AF135" s="3">
        <v>0.21997721170000001</v>
      </c>
      <c r="AG135" s="3">
        <v>0.1839772117</v>
      </c>
      <c r="AH135" s="3">
        <v>4.8977211719999997E-2</v>
      </c>
      <c r="AI135" s="3">
        <v>0.53390884689999996</v>
      </c>
      <c r="AJ135" s="6">
        <v>0.54087485619999998</v>
      </c>
      <c r="AK135" s="4">
        <v>9195.5537069999991</v>
      </c>
      <c r="AL135" t="s">
        <v>94</v>
      </c>
      <c r="AM135" t="s">
        <v>170</v>
      </c>
      <c r="AN135" t="str">
        <f t="shared" si="5"/>
        <v>Excellent Economic Resilience with Challenging Affordability.</v>
      </c>
      <c r="AP135" t="s">
        <v>40</v>
      </c>
    </row>
    <row r="136" spans="1:42" x14ac:dyDescent="0.4">
      <c r="A136" t="str">
        <f t="shared" si="4"/>
        <v>SAUDI ARABIA|2021</v>
      </c>
      <c r="B136" s="1" t="s">
        <v>300</v>
      </c>
      <c r="C136" s="1">
        <v>2021</v>
      </c>
      <c r="D136" s="4">
        <v>96140000000000</v>
      </c>
      <c r="E136" s="3">
        <v>0.13439528019999999</v>
      </c>
      <c r="F136" s="2">
        <v>7950000000</v>
      </c>
      <c r="G136" s="3">
        <v>7.6045627380000001E-3</v>
      </c>
      <c r="H136" s="4">
        <v>982661100000</v>
      </c>
      <c r="I136" s="3">
        <v>0.27958794780000001</v>
      </c>
      <c r="J136" s="2">
        <v>30784383</v>
      </c>
      <c r="K136" s="3">
        <v>-2.4344402389999999E-2</v>
      </c>
      <c r="L136" s="3">
        <v>1.022114729E-2</v>
      </c>
      <c r="M136" s="4">
        <v>213515200000</v>
      </c>
      <c r="N136" s="4">
        <v>286501300000</v>
      </c>
      <c r="O136" s="4">
        <v>72986100000</v>
      </c>
      <c r="P136" s="3">
        <v>7.4273928210000006E-2</v>
      </c>
      <c r="Q136" s="3">
        <v>0.255</v>
      </c>
      <c r="R136" s="3">
        <v>-0.13851351349999999</v>
      </c>
      <c r="S136" s="4">
        <v>250578580500</v>
      </c>
      <c r="T136" s="3">
        <v>0.01</v>
      </c>
      <c r="U136" s="4">
        <v>2505785805</v>
      </c>
      <c r="V136" s="3">
        <v>2.5500000000000002E-3</v>
      </c>
      <c r="W136" s="5">
        <v>3.06328999999999E-2</v>
      </c>
      <c r="X136" s="4">
        <v>31920.766449999999</v>
      </c>
      <c r="Y136" s="4">
        <v>30942.9408</v>
      </c>
      <c r="Z136" s="6">
        <v>0.88</v>
      </c>
      <c r="AA136" s="3">
        <v>3.5294117649999998E-2</v>
      </c>
      <c r="AB136" s="6">
        <v>0.45750000000000002</v>
      </c>
      <c r="AC136" s="3">
        <v>-3.2786885250000002E-3</v>
      </c>
      <c r="AD136" s="6">
        <v>0.42249999999999999</v>
      </c>
      <c r="AE136" s="3">
        <v>8.8002328130000002E-2</v>
      </c>
      <c r="AF136" s="3">
        <v>0.22700232810000001</v>
      </c>
      <c r="AG136" s="3">
        <v>0.19100232810000001</v>
      </c>
      <c r="AH136" s="3">
        <v>5.6002328130000001E-2</v>
      </c>
      <c r="AI136" s="3">
        <v>0.56200931249999997</v>
      </c>
      <c r="AJ136" s="6">
        <v>0.64395438800000004</v>
      </c>
      <c r="AK136" s="4">
        <v>13073.39249</v>
      </c>
      <c r="AL136" t="s">
        <v>171</v>
      </c>
      <c r="AM136" t="s">
        <v>172</v>
      </c>
      <c r="AN136" t="str">
        <f t="shared" si="5"/>
        <v>Excellent Economic Resilience with Improved Affordability.</v>
      </c>
      <c r="AP136" t="s">
        <v>40</v>
      </c>
    </row>
    <row r="137" spans="1:42" x14ac:dyDescent="0.4">
      <c r="A137" t="str">
        <f t="shared" si="4"/>
        <v>SAUDI ARABIA|2022</v>
      </c>
      <c r="B137" s="1" t="s">
        <v>300</v>
      </c>
      <c r="C137" s="1">
        <v>2022</v>
      </c>
      <c r="D137" s="4">
        <v>101560000000000</v>
      </c>
      <c r="E137" s="3">
        <v>5.6376118160000002E-2</v>
      </c>
      <c r="F137" s="2">
        <v>8020000000</v>
      </c>
      <c r="G137" s="3">
        <v>8.8050314469999991E-3</v>
      </c>
      <c r="H137" s="4">
        <v>1239075000000</v>
      </c>
      <c r="I137" s="3">
        <v>0.26093828279999998</v>
      </c>
      <c r="J137" s="2">
        <v>32175224</v>
      </c>
      <c r="K137" s="3">
        <v>4.5180083679999997E-2</v>
      </c>
      <c r="L137" s="3">
        <v>1.22004234E-2</v>
      </c>
      <c r="M137" s="4">
        <v>258212800000</v>
      </c>
      <c r="N137" s="4">
        <v>445881300000</v>
      </c>
      <c r="O137" s="4">
        <v>187668500000</v>
      </c>
      <c r="P137" s="3">
        <v>0.1514585477</v>
      </c>
      <c r="Q137" s="3">
        <v>0.21299999999999999</v>
      </c>
      <c r="R137" s="3">
        <v>-0.1647058824</v>
      </c>
      <c r="S137" s="4">
        <v>263922975000</v>
      </c>
      <c r="T137" s="3">
        <v>0.05</v>
      </c>
      <c r="U137" s="4">
        <v>13196148750</v>
      </c>
      <c r="V137" s="3">
        <v>1.065E-2</v>
      </c>
      <c r="W137" s="5">
        <v>2.47407399999999E-2</v>
      </c>
      <c r="X137" s="4">
        <v>38510.221409999998</v>
      </c>
      <c r="Y137" s="4">
        <v>37557.45003</v>
      </c>
      <c r="Z137" s="6">
        <v>0.88</v>
      </c>
      <c r="AA137" s="3">
        <v>0</v>
      </c>
      <c r="AB137" s="6">
        <v>0.45600000000000002</v>
      </c>
      <c r="AC137" s="3">
        <v>-3.2894736840000001E-3</v>
      </c>
      <c r="AD137" s="6">
        <v>0.42399999999999999</v>
      </c>
      <c r="AE137" s="3">
        <v>9.5397187499999994E-2</v>
      </c>
      <c r="AF137" s="3">
        <v>0.23439718749999999</v>
      </c>
      <c r="AG137" s="3">
        <v>0.19839718749999999</v>
      </c>
      <c r="AH137" s="3">
        <v>6.3397187499999993E-2</v>
      </c>
      <c r="AI137" s="3">
        <v>0.59158875</v>
      </c>
      <c r="AJ137" s="6">
        <v>0.7445977211</v>
      </c>
      <c r="AK137" s="4">
        <v>15924.35881</v>
      </c>
      <c r="AL137" t="s">
        <v>85</v>
      </c>
      <c r="AM137" t="s">
        <v>173</v>
      </c>
      <c r="AN137" t="str">
        <f t="shared" si="5"/>
        <v>Superb Economic Resilience with Moderate Affordability.</v>
      </c>
      <c r="AP137" t="s">
        <v>40</v>
      </c>
    </row>
    <row r="138" spans="1:42" x14ac:dyDescent="0.4">
      <c r="A138" t="str">
        <f t="shared" si="4"/>
        <v>SAUDI ARABIA|2023</v>
      </c>
      <c r="B138" s="1" t="s">
        <v>300</v>
      </c>
      <c r="C138" s="1">
        <v>2023</v>
      </c>
      <c r="D138" s="4">
        <v>106800000000000</v>
      </c>
      <c r="E138" s="3">
        <v>5.1595116189999998E-2</v>
      </c>
      <c r="F138" s="2">
        <v>8090000000</v>
      </c>
      <c r="G138" s="3">
        <v>8.7281795509999999E-3</v>
      </c>
      <c r="H138" s="4">
        <v>1218585000000</v>
      </c>
      <c r="I138" s="3">
        <v>-1.6536529269999999E-2</v>
      </c>
      <c r="J138" s="2">
        <v>33702731</v>
      </c>
      <c r="K138" s="3">
        <v>4.7474634520000003E-2</v>
      </c>
      <c r="L138" s="3">
        <v>1.140997191E-2</v>
      </c>
      <c r="M138" s="4">
        <v>291564500000</v>
      </c>
      <c r="N138" s="4">
        <v>368530700000</v>
      </c>
      <c r="O138" s="4">
        <v>76966200000</v>
      </c>
      <c r="P138" s="3">
        <v>6.3160304779999996E-2</v>
      </c>
      <c r="Q138" s="3">
        <v>0.23</v>
      </c>
      <c r="R138" s="3">
        <v>7.9812206570000002E-2</v>
      </c>
      <c r="S138" s="4">
        <v>280274550000</v>
      </c>
      <c r="T138" s="3">
        <v>0.06</v>
      </c>
      <c r="U138" s="4">
        <v>16816473000</v>
      </c>
      <c r="V138" s="3">
        <v>1.38E-2</v>
      </c>
      <c r="W138" s="3">
        <v>2.3270849999999999E-2</v>
      </c>
      <c r="X138" s="4">
        <v>36156.862179999996</v>
      </c>
      <c r="Y138" s="4">
        <v>35315.46127</v>
      </c>
      <c r="Z138" s="6">
        <v>0.9</v>
      </c>
      <c r="AA138" s="3">
        <v>2.2727272730000001E-2</v>
      </c>
      <c r="AB138" s="6">
        <v>0.45900000000000002</v>
      </c>
      <c r="AC138" s="3">
        <v>6.535947712E-3</v>
      </c>
      <c r="AD138" s="6">
        <v>0.441</v>
      </c>
      <c r="AE138" s="3">
        <v>0.10318125</v>
      </c>
      <c r="AF138" s="3">
        <v>0.24218124999999999</v>
      </c>
      <c r="AG138" s="3">
        <v>0.20618125000000001</v>
      </c>
      <c r="AH138" s="3">
        <v>7.1181250000000001E-2</v>
      </c>
      <c r="AI138" s="3">
        <v>0.62272499999999997</v>
      </c>
      <c r="AJ138" s="6">
        <v>0.68349527669999999</v>
      </c>
      <c r="AK138" s="4">
        <v>15574.118420000001</v>
      </c>
      <c r="AL138" t="s">
        <v>85</v>
      </c>
      <c r="AM138" t="s">
        <v>174</v>
      </c>
      <c r="AN138" t="str">
        <f t="shared" si="5"/>
        <v>Excellent Economic Resilience with Moderate Affordability.</v>
      </c>
      <c r="AP138" t="s">
        <v>40</v>
      </c>
    </row>
    <row r="139" spans="1:42" x14ac:dyDescent="0.4">
      <c r="A139" t="str">
        <f t="shared" si="4"/>
        <v>SAUDI ARABIA|2024</v>
      </c>
      <c r="B139" s="1" t="s">
        <v>300</v>
      </c>
      <c r="C139" s="1">
        <v>2024</v>
      </c>
      <c r="D139" s="4">
        <v>112600000000000</v>
      </c>
      <c r="E139" s="3">
        <v>5.4307116099999997E-2</v>
      </c>
      <c r="F139" s="2">
        <v>8161972572</v>
      </c>
      <c r="G139" s="3">
        <v>8.8964860320000002E-3</v>
      </c>
      <c r="H139" s="4">
        <v>1239805000000</v>
      </c>
      <c r="I139" s="3">
        <v>1.7413639589999998E-2</v>
      </c>
      <c r="J139" s="2">
        <v>35300280</v>
      </c>
      <c r="K139" s="3">
        <v>4.7401173509999998E-2</v>
      </c>
      <c r="L139" s="3">
        <v>1.1010701600000001E-2</v>
      </c>
      <c r="M139" s="4">
        <v>317011700000</v>
      </c>
      <c r="N139" s="4">
        <v>360897300000</v>
      </c>
      <c r="O139" s="4">
        <v>43885600000</v>
      </c>
      <c r="P139" s="3">
        <v>3.5397179399999999E-2</v>
      </c>
      <c r="Q139" s="3">
        <v>0.26200000000000001</v>
      </c>
      <c r="R139" s="3">
        <v>0.13913043480000001</v>
      </c>
      <c r="S139" s="4">
        <v>324828910000</v>
      </c>
      <c r="T139" s="3">
        <v>0.05</v>
      </c>
      <c r="U139" s="4">
        <v>16241445500</v>
      </c>
      <c r="V139" s="3">
        <v>1.3100000000000001E-2</v>
      </c>
      <c r="W139" s="3">
        <v>1.6879209999999999E-2</v>
      </c>
      <c r="X139" s="4">
        <v>35121.676090000001</v>
      </c>
      <c r="Y139" s="4">
        <v>34528.84994</v>
      </c>
      <c r="Z139" s="6">
        <v>0.9</v>
      </c>
      <c r="AA139" s="3">
        <v>0</v>
      </c>
      <c r="AB139" s="6">
        <v>0.45600000000000002</v>
      </c>
      <c r="AC139" s="3">
        <v>-6.5789473680000002E-3</v>
      </c>
      <c r="AD139" s="6">
        <v>0.44400000000000001</v>
      </c>
      <c r="AE139" s="3">
        <v>0.111375</v>
      </c>
      <c r="AF139" s="3">
        <v>0.25037500000000001</v>
      </c>
      <c r="AG139" s="3">
        <v>0.21437500000000001</v>
      </c>
      <c r="AH139" s="3">
        <v>7.9375000000000001E-2</v>
      </c>
      <c r="AI139" s="3">
        <v>0.65549999999999997</v>
      </c>
      <c r="AJ139" s="6">
        <v>0.68880788100000001</v>
      </c>
      <c r="AK139" s="4">
        <v>15330.809370000001</v>
      </c>
      <c r="AL139" t="s">
        <v>85</v>
      </c>
      <c r="AM139" t="s">
        <v>175</v>
      </c>
      <c r="AN139" t="str">
        <f t="shared" si="5"/>
        <v>Excellent Economic Resilience with Moderate Affordability.</v>
      </c>
      <c r="AP139" t="s">
        <v>40</v>
      </c>
    </row>
    <row r="140" spans="1:42" x14ac:dyDescent="0.4">
      <c r="A140" t="str">
        <f t="shared" si="4"/>
        <v>SAUDI ARABIA|2025</v>
      </c>
      <c r="B140" s="1" t="s">
        <v>300</v>
      </c>
      <c r="C140" s="1">
        <v>2025</v>
      </c>
      <c r="D140" s="4">
        <v>113795678000000</v>
      </c>
      <c r="E140" s="3">
        <v>1.061880995E-2</v>
      </c>
      <c r="F140" s="2">
        <v>8231613070</v>
      </c>
      <c r="G140" s="3">
        <v>8.5323121809999999E-3</v>
      </c>
      <c r="H140" s="4">
        <v>1084000000000</v>
      </c>
      <c r="I140" s="3">
        <v>-0.125668956</v>
      </c>
      <c r="J140" s="2">
        <v>32200000</v>
      </c>
      <c r="K140" s="3">
        <v>-8.7825932260000003E-2</v>
      </c>
      <c r="L140" s="3">
        <v>9.5258450849999999E-3</v>
      </c>
      <c r="M140" s="4">
        <v>331500000000</v>
      </c>
      <c r="N140" s="4">
        <v>410500000000</v>
      </c>
      <c r="O140" s="4">
        <v>79000000000</v>
      </c>
      <c r="P140" s="3">
        <v>7.2878228779999998E-2</v>
      </c>
      <c r="Q140" s="3">
        <v>0.29899999999999999</v>
      </c>
      <c r="R140" s="3">
        <v>0.14122137400000001</v>
      </c>
      <c r="S140" s="4">
        <v>324116000000</v>
      </c>
      <c r="T140" s="3">
        <v>4.4999999999999998E-2</v>
      </c>
      <c r="U140" s="4">
        <v>14585220000</v>
      </c>
      <c r="V140" s="3">
        <v>1.3455E-2</v>
      </c>
      <c r="W140" s="3">
        <v>1.9E-2</v>
      </c>
      <c r="X140" s="4">
        <v>33664.596270000002</v>
      </c>
      <c r="Y140" s="4">
        <v>33024.968939999999</v>
      </c>
      <c r="Z140" s="6">
        <v>0.9</v>
      </c>
      <c r="AA140" s="3">
        <v>0</v>
      </c>
      <c r="AB140" s="6">
        <v>0.45900000000000002</v>
      </c>
      <c r="AC140" s="3">
        <v>6.535947712E-3</v>
      </c>
      <c r="AD140" s="6">
        <v>0.441</v>
      </c>
      <c r="AE140" s="3">
        <v>0.12</v>
      </c>
      <c r="AF140" s="3">
        <v>0.25900000000000001</v>
      </c>
      <c r="AG140" s="3">
        <v>0.223</v>
      </c>
      <c r="AH140" s="3">
        <v>8.7999999999999995E-2</v>
      </c>
      <c r="AI140" s="3">
        <v>0.69</v>
      </c>
      <c r="AJ140" s="6">
        <v>0.75894907389999999</v>
      </c>
      <c r="AK140" s="4">
        <v>14564.0113</v>
      </c>
      <c r="AL140" t="s">
        <v>171</v>
      </c>
      <c r="AM140" t="s">
        <v>176</v>
      </c>
      <c r="AN140" t="str">
        <f t="shared" si="5"/>
        <v>Superb Economic Resilience with Improved Affordability.</v>
      </c>
      <c r="AO140" t="s">
        <v>318</v>
      </c>
      <c r="AP140" t="s">
        <v>40</v>
      </c>
    </row>
    <row r="141" spans="1:42" x14ac:dyDescent="0.4">
      <c r="A141" t="str">
        <f t="shared" si="4"/>
        <v>SAUDI ARABIA|2026</v>
      </c>
      <c r="B141" s="1" t="s">
        <v>300</v>
      </c>
      <c r="C141" s="1">
        <v>2026</v>
      </c>
      <c r="D141" s="4">
        <v>120063810405112</v>
      </c>
      <c r="E141" s="3">
        <v>5.5082341569999999E-2</v>
      </c>
      <c r="F141" s="2">
        <v>8302201675</v>
      </c>
      <c r="G141" s="3">
        <v>8.575306441E-3</v>
      </c>
      <c r="H141" s="4">
        <v>1223402030944</v>
      </c>
      <c r="I141" s="3">
        <v>0.12859965949999999</v>
      </c>
      <c r="J141" s="2">
        <v>33636373.310000002</v>
      </c>
      <c r="K141" s="3">
        <v>4.4607866840000003E-2</v>
      </c>
      <c r="L141" s="3">
        <v>1.018959857E-2</v>
      </c>
      <c r="M141" s="4">
        <v>356891971429</v>
      </c>
      <c r="N141" s="4">
        <v>450438128571</v>
      </c>
      <c r="O141" s="4">
        <v>93546157143</v>
      </c>
      <c r="P141" s="3">
        <v>7.6463954429999995E-2</v>
      </c>
      <c r="Q141" s="3">
        <v>0.30183389469999999</v>
      </c>
      <c r="R141" s="3">
        <v>9.4779088090000008E-3</v>
      </c>
      <c r="S141" s="4">
        <v>369264199825</v>
      </c>
      <c r="T141" s="3">
        <v>6.3571428570000005E-2</v>
      </c>
      <c r="U141" s="4">
        <v>23474652703</v>
      </c>
      <c r="V141" s="3">
        <v>1.9188011880000001E-2</v>
      </c>
      <c r="W141" s="3">
        <v>2.686518429E-2</v>
      </c>
      <c r="X141" s="4">
        <v>36371.401270000002</v>
      </c>
      <c r="Y141" s="4">
        <v>35394.276870000002</v>
      </c>
      <c r="Z141" s="6">
        <v>0.91133665409999998</v>
      </c>
      <c r="AA141" s="3">
        <v>1.259628235E-2</v>
      </c>
      <c r="AB141" s="6">
        <v>0.45881855160000001</v>
      </c>
      <c r="AC141" s="3">
        <v>-3.9546868639999999E-4</v>
      </c>
      <c r="AD141" s="6">
        <v>0.45251810250000002</v>
      </c>
      <c r="AE141" s="3">
        <v>0.12862499999999999</v>
      </c>
      <c r="AF141" s="3">
        <v>0.267625</v>
      </c>
      <c r="AG141" s="3">
        <v>0.231625</v>
      </c>
      <c r="AH141" s="3">
        <v>9.6625000000000003E-2</v>
      </c>
      <c r="AI141" s="3">
        <v>0.72450000000000003</v>
      </c>
      <c r="AJ141" s="6">
        <v>0.79196554109999995</v>
      </c>
      <c r="AK141" s="4">
        <v>16016.551009999999</v>
      </c>
      <c r="AL141" t="s">
        <v>85</v>
      </c>
      <c r="AM141" t="s">
        <v>177</v>
      </c>
      <c r="AN141" t="str">
        <f t="shared" si="5"/>
        <v>Superb Economic Resilience with Moderate Affordability.</v>
      </c>
      <c r="AP141" t="s">
        <v>40</v>
      </c>
    </row>
    <row r="142" spans="1:42" x14ac:dyDescent="0.4">
      <c r="A142" t="str">
        <f t="shared" si="4"/>
        <v>SAUDI ARABIA|2027</v>
      </c>
      <c r="B142" s="1" t="s">
        <v>300</v>
      </c>
      <c r="C142" s="1">
        <v>2027</v>
      </c>
      <c r="D142" s="4">
        <v>125735541889780</v>
      </c>
      <c r="E142" s="3">
        <v>4.7239309379999997E-2</v>
      </c>
      <c r="F142" s="2">
        <v>8372937901</v>
      </c>
      <c r="G142" s="3">
        <v>8.5201768609999996E-3</v>
      </c>
      <c r="H142" s="4">
        <v>1312815287093</v>
      </c>
      <c r="I142" s="3">
        <v>7.308575095E-2</v>
      </c>
      <c r="J142" s="2">
        <v>34485163.32</v>
      </c>
      <c r="K142" s="3">
        <v>2.523429038E-2</v>
      </c>
      <c r="L142" s="3">
        <v>1.044108346E-2</v>
      </c>
      <c r="M142" s="4">
        <v>381366300000</v>
      </c>
      <c r="N142" s="4">
        <v>479439864286</v>
      </c>
      <c r="O142" s="4">
        <v>98073564286</v>
      </c>
      <c r="P142" s="3">
        <v>7.4704770160000003E-2</v>
      </c>
      <c r="Q142" s="3">
        <v>0.31091664619999998</v>
      </c>
      <c r="R142" s="3">
        <v>3.00918872E-2</v>
      </c>
      <c r="S142" s="4">
        <v>408176126204</v>
      </c>
      <c r="T142" s="3">
        <v>7.0624999999999993E-2</v>
      </c>
      <c r="U142" s="4">
        <v>28827438913</v>
      </c>
      <c r="V142" s="3">
        <v>2.1958488139999999E-2</v>
      </c>
      <c r="W142" s="3">
        <v>2.8713003930000001E-2</v>
      </c>
      <c r="X142" s="4">
        <v>38068.988530000002</v>
      </c>
      <c r="Y142" s="4">
        <v>36975.913509999998</v>
      </c>
      <c r="Z142" s="6">
        <v>0.92055674310000002</v>
      </c>
      <c r="AA142" s="3">
        <v>1.0117105439999999E-2</v>
      </c>
      <c r="AB142" s="6">
        <v>0.45892876059999999</v>
      </c>
      <c r="AC142" s="3">
        <v>2.4014392269999999E-4</v>
      </c>
      <c r="AD142" s="6">
        <v>0.46162798259999999</v>
      </c>
      <c r="AE142" s="3">
        <v>0.13768125000000001</v>
      </c>
      <c r="AF142" s="3">
        <v>0.27668124999999999</v>
      </c>
      <c r="AG142" s="3">
        <v>0.24068125000000001</v>
      </c>
      <c r="AH142" s="3">
        <v>0.10568125</v>
      </c>
      <c r="AI142" s="3">
        <v>0.76072499999999998</v>
      </c>
      <c r="AJ142" s="6">
        <v>0.82391236550000002</v>
      </c>
      <c r="AK142" s="4">
        <v>17069.11636</v>
      </c>
      <c r="AL142" t="s">
        <v>85</v>
      </c>
      <c r="AM142" t="s">
        <v>178</v>
      </c>
      <c r="AN142" t="str">
        <f t="shared" si="5"/>
        <v>Superb Economic Resilience with Moderate Affordability.</v>
      </c>
      <c r="AP142" t="s">
        <v>40</v>
      </c>
    </row>
    <row r="143" spans="1:42" x14ac:dyDescent="0.4">
      <c r="A143" t="str">
        <f t="shared" si="4"/>
        <v>SAUDI ARABIA|2028</v>
      </c>
      <c r="B143" s="1" t="s">
        <v>300</v>
      </c>
      <c r="C143" s="1">
        <v>2028</v>
      </c>
      <c r="D143" s="4">
        <v>131237442252096</v>
      </c>
      <c r="E143" s="3">
        <v>4.375771782E-2</v>
      </c>
      <c r="F143" s="2">
        <v>8443822776</v>
      </c>
      <c r="G143" s="3">
        <v>8.465950178E-3</v>
      </c>
      <c r="H143" s="4">
        <v>1385141802042</v>
      </c>
      <c r="I143" s="3">
        <v>5.5092681859999999E-2</v>
      </c>
      <c r="J143" s="2">
        <v>35133303.789999999</v>
      </c>
      <c r="K143" s="3">
        <v>1.8794762919999999E-2</v>
      </c>
      <c r="L143" s="3">
        <v>1.055447118E-2</v>
      </c>
      <c r="M143" s="4">
        <v>405840628571</v>
      </c>
      <c r="N143" s="4">
        <v>508441600000</v>
      </c>
      <c r="O143" s="4">
        <v>102600971429</v>
      </c>
      <c r="P143" s="3">
        <v>7.407253992E-2</v>
      </c>
      <c r="Q143" s="3">
        <v>0.32236833840000001</v>
      </c>
      <c r="R143" s="3">
        <v>3.6832032950000003E-2</v>
      </c>
      <c r="S143" s="4">
        <v>446525861183</v>
      </c>
      <c r="T143" s="3">
        <v>7.7678571429999996E-2</v>
      </c>
      <c r="U143" s="4">
        <v>34685491003</v>
      </c>
      <c r="V143" s="3">
        <v>2.5041112000000001E-2</v>
      </c>
      <c r="W143" s="3">
        <v>3.0560823569999999E-2</v>
      </c>
      <c r="X143" s="4">
        <v>39425.321629999999</v>
      </c>
      <c r="Y143" s="4">
        <v>38220.451330000004</v>
      </c>
      <c r="Z143" s="6">
        <v>0.92906392680000005</v>
      </c>
      <c r="AA143" s="3">
        <v>9.2413463149999993E-3</v>
      </c>
      <c r="AB143" s="6">
        <v>0.4591383128</v>
      </c>
      <c r="AC143" s="3">
        <v>4.5640325980000001E-4</v>
      </c>
      <c r="AD143" s="6">
        <v>0.46992561399999999</v>
      </c>
      <c r="AE143" s="3">
        <v>0.1471903125</v>
      </c>
      <c r="AF143" s="3">
        <v>0.28619031249999999</v>
      </c>
      <c r="AG143" s="3">
        <v>0.25019031250000001</v>
      </c>
      <c r="AH143" s="3">
        <v>0.1151903125</v>
      </c>
      <c r="AI143" s="3">
        <v>0.79876124999999998</v>
      </c>
      <c r="AJ143" s="6">
        <v>0.85834714909999998</v>
      </c>
      <c r="AK143" s="4">
        <v>17960.769059999999</v>
      </c>
      <c r="AL143" t="s">
        <v>85</v>
      </c>
      <c r="AM143" t="s">
        <v>179</v>
      </c>
      <c r="AN143" t="str">
        <f t="shared" si="5"/>
        <v>Superb Economic Resilience with Moderate Affordability.</v>
      </c>
      <c r="AP143" t="s">
        <v>40</v>
      </c>
    </row>
    <row r="144" spans="1:42" x14ac:dyDescent="0.4">
      <c r="A144" t="str">
        <f t="shared" si="4"/>
        <v>SAUDI ARABIA|2029</v>
      </c>
      <c r="B144" s="1" t="s">
        <v>300</v>
      </c>
      <c r="C144" s="1">
        <v>2029</v>
      </c>
      <c r="D144" s="4">
        <v>136712479650225</v>
      </c>
      <c r="E144" s="3">
        <v>4.1718562200000003E-2</v>
      </c>
      <c r="F144" s="2">
        <v>8514849364</v>
      </c>
      <c r="G144" s="3">
        <v>8.4116624760000001E-3</v>
      </c>
      <c r="H144" s="4">
        <v>1451635685892</v>
      </c>
      <c r="I144" s="3">
        <v>4.8005109480000002E-2</v>
      </c>
      <c r="J144" s="2">
        <v>35710526.259999998</v>
      </c>
      <c r="K144" s="3">
        <v>1.6429495719999999E-2</v>
      </c>
      <c r="L144" s="3">
        <v>1.061816514E-2</v>
      </c>
      <c r="M144" s="4">
        <v>430314957143</v>
      </c>
      <c r="N144" s="4">
        <v>537443335714</v>
      </c>
      <c r="O144" s="4">
        <v>107128378571</v>
      </c>
      <c r="P144" s="3">
        <v>7.379839144E-2</v>
      </c>
      <c r="Q144" s="3">
        <v>0.33481472280000002</v>
      </c>
      <c r="R144" s="3">
        <v>3.8609202340000003E-2</v>
      </c>
      <c r="S144" s="4">
        <v>486028999795</v>
      </c>
      <c r="T144" s="3">
        <v>8.4732142859999998E-2</v>
      </c>
      <c r="U144" s="4">
        <v>41182278643</v>
      </c>
      <c r="V144" s="3">
        <v>2.8369568920000001E-2</v>
      </c>
      <c r="W144" s="3">
        <v>3.2408643209999997E-2</v>
      </c>
      <c r="X144" s="4">
        <v>40650.078229999999</v>
      </c>
      <c r="Y144" s="4">
        <v>39332.664349999999</v>
      </c>
      <c r="Z144" s="6">
        <v>0.93732634329999998</v>
      </c>
      <c r="AA144" s="3">
        <v>8.8932701729999997E-3</v>
      </c>
      <c r="AB144" s="6">
        <v>0.45938323079999999</v>
      </c>
      <c r="AC144" s="3">
        <v>5.3314521570000002E-4</v>
      </c>
      <c r="AD144" s="6">
        <v>0.47794311249999999</v>
      </c>
      <c r="AE144" s="3">
        <v>0.1571748281</v>
      </c>
      <c r="AF144" s="3">
        <v>0.29617482810000001</v>
      </c>
      <c r="AG144" s="3">
        <v>0.26017482809999998</v>
      </c>
      <c r="AH144" s="3">
        <v>0.1251748281</v>
      </c>
      <c r="AI144" s="3">
        <v>0.83869931249999996</v>
      </c>
      <c r="AJ144" s="6">
        <v>0.89474630020000001</v>
      </c>
      <c r="AK144" s="4">
        <v>18798.776020000001</v>
      </c>
      <c r="AL144" t="s">
        <v>85</v>
      </c>
      <c r="AM144" t="s">
        <v>180</v>
      </c>
      <c r="AN144" t="str">
        <f t="shared" si="5"/>
        <v>Superb Economic Resilience with Moderate Affordability.</v>
      </c>
      <c r="AP144" t="s">
        <v>40</v>
      </c>
    </row>
    <row r="145" spans="1:42" x14ac:dyDescent="0.4">
      <c r="A145" t="str">
        <f t="shared" si="4"/>
        <v>SAUDI ARABIA|2030</v>
      </c>
      <c r="B145" s="1" t="s">
        <v>300</v>
      </c>
      <c r="C145" s="1">
        <v>2030</v>
      </c>
      <c r="D145" s="4">
        <v>141834754671550</v>
      </c>
      <c r="E145" s="3"/>
      <c r="F145" s="2">
        <v>8586617399</v>
      </c>
      <c r="G145" s="3"/>
      <c r="H145" s="4">
        <v>1488140955213</v>
      </c>
      <c r="I145" s="3"/>
      <c r="J145" s="2">
        <v>36233434.840000004</v>
      </c>
      <c r="K145" s="3"/>
      <c r="L145" s="3">
        <v>1.04920755E-2</v>
      </c>
      <c r="M145" s="4">
        <v>454789285714</v>
      </c>
      <c r="N145" s="4">
        <v>566445071429</v>
      </c>
      <c r="O145" s="4">
        <v>111655785714</v>
      </c>
      <c r="P145" s="3">
        <v>7.5030382919999999E-2</v>
      </c>
      <c r="Q145" s="3">
        <v>0.347742355</v>
      </c>
      <c r="R145" s="3"/>
      <c r="S145" s="4">
        <v>517489640397</v>
      </c>
      <c r="T145" s="3">
        <v>9.1785714290000001E-2</v>
      </c>
      <c r="U145" s="4">
        <v>47498156279</v>
      </c>
      <c r="V145" s="3">
        <v>3.1917780440000001E-2</v>
      </c>
      <c r="W145" s="3">
        <v>3.4256462860000003E-2</v>
      </c>
      <c r="X145" s="4">
        <v>41070.932460000004</v>
      </c>
      <c r="Y145" s="4">
        <v>39663.987589999997</v>
      </c>
      <c r="Z145" s="6">
        <v>0.94550741540000005</v>
      </c>
      <c r="AA145" s="3"/>
      <c r="AB145" s="6">
        <v>0.45964119850000001</v>
      </c>
      <c r="AC145" s="3"/>
      <c r="AD145" s="6">
        <v>0.48586621689999998</v>
      </c>
      <c r="AE145" s="3">
        <v>0.16765856949999999</v>
      </c>
      <c r="AF145" s="3">
        <v>0.30665856949999998</v>
      </c>
      <c r="AG145" s="3">
        <v>0.2706585695</v>
      </c>
      <c r="AH145" s="3">
        <v>0.13565856949999999</v>
      </c>
      <c r="AI145" s="3">
        <v>0.88063427809999995</v>
      </c>
      <c r="AJ145" s="6">
        <v>0.93423895609999996</v>
      </c>
      <c r="AK145" s="4">
        <v>19271.391599999999</v>
      </c>
      <c r="AL145" t="s">
        <v>85</v>
      </c>
      <c r="AM145" t="s">
        <v>181</v>
      </c>
      <c r="AN145" t="str">
        <f t="shared" si="5"/>
        <v>Superb Economic Resilience with Moderate Affordability.</v>
      </c>
      <c r="AP145" t="s">
        <v>40</v>
      </c>
    </row>
    <row r="146" spans="1:42" x14ac:dyDescent="0.4">
      <c r="A146" t="str">
        <f t="shared" si="4"/>
        <v>SOUTH KOREA|2019</v>
      </c>
      <c r="B146" s="1" t="s">
        <v>301</v>
      </c>
      <c r="C146" s="1">
        <v>2019</v>
      </c>
      <c r="D146" s="4">
        <v>87700000000000</v>
      </c>
      <c r="E146" s="3"/>
      <c r="F146" s="2">
        <v>7810000000</v>
      </c>
      <c r="G146" s="3"/>
      <c r="H146" s="4">
        <v>1751046000000</v>
      </c>
      <c r="I146" s="3"/>
      <c r="J146" s="2">
        <v>51764822</v>
      </c>
      <c r="K146" s="3"/>
      <c r="L146" s="3">
        <v>1.996631699E-2</v>
      </c>
      <c r="M146" s="4">
        <v>602460200000</v>
      </c>
      <c r="N146" s="4">
        <v>648610600000</v>
      </c>
      <c r="O146" s="4">
        <v>46150400000</v>
      </c>
      <c r="P146" s="3">
        <v>2.635590384E-2</v>
      </c>
      <c r="Q146" s="3">
        <v>0.37695483000000002</v>
      </c>
      <c r="R146" s="3"/>
      <c r="S146" s="4">
        <v>660065247252</v>
      </c>
      <c r="T146" s="5">
        <v>4.0956089999999903E-2</v>
      </c>
      <c r="U146" s="4">
        <v>27033691672</v>
      </c>
      <c r="V146" s="3">
        <v>1.5438595940000001E-2</v>
      </c>
      <c r="W146" s="3">
        <v>3.8300000000000001E-3</v>
      </c>
      <c r="X146" s="4">
        <v>33826.949119999997</v>
      </c>
      <c r="Y146" s="4">
        <v>33697.391900000002</v>
      </c>
      <c r="Z146" s="6">
        <v>0.91</v>
      </c>
      <c r="AA146" s="3"/>
      <c r="AB146" s="6">
        <v>0.33200000000000002</v>
      </c>
      <c r="AC146" s="3"/>
      <c r="AD146" s="6">
        <v>0.57799999999999996</v>
      </c>
      <c r="AE146" s="3">
        <v>5.8012626919999997E-2</v>
      </c>
      <c r="AF146" s="3">
        <v>7.5012626920000006E-2</v>
      </c>
      <c r="AG146" s="3">
        <v>8.1012626919999997E-2</v>
      </c>
      <c r="AH146" s="3">
        <v>3.001262692E-2</v>
      </c>
      <c r="AI146" s="3">
        <v>0.2440505077</v>
      </c>
      <c r="AJ146" s="6">
        <v>0.27493413259999999</v>
      </c>
      <c r="AK146" s="4">
        <v>19477.092519999998</v>
      </c>
      <c r="AL146" t="s">
        <v>85</v>
      </c>
      <c r="AM146" t="s">
        <v>182</v>
      </c>
      <c r="AN146" t="str">
        <f t="shared" si="5"/>
        <v>Moderate Economic Resilience with Moderate Affordability.</v>
      </c>
      <c r="AP146" t="s">
        <v>40</v>
      </c>
    </row>
    <row r="147" spans="1:42" x14ac:dyDescent="0.4">
      <c r="A147" t="str">
        <f t="shared" si="4"/>
        <v>SOUTH KOREA|2020</v>
      </c>
      <c r="B147" s="1" t="s">
        <v>301</v>
      </c>
      <c r="C147" s="1">
        <v>2020</v>
      </c>
      <c r="D147" s="4">
        <v>84750000000000</v>
      </c>
      <c r="E147" s="3">
        <v>-3.3637400230000003E-2</v>
      </c>
      <c r="F147" s="2">
        <v>7890000000</v>
      </c>
      <c r="G147" s="3">
        <v>1.0243277849999999E-2</v>
      </c>
      <c r="H147" s="4">
        <v>1744070000000</v>
      </c>
      <c r="I147" s="3">
        <v>-3.9839044779999997E-3</v>
      </c>
      <c r="J147" s="2">
        <v>51836239</v>
      </c>
      <c r="K147" s="3">
        <v>1.379643496E-3</v>
      </c>
      <c r="L147" s="3">
        <v>2.0578997049999999E-2</v>
      </c>
      <c r="M147" s="4">
        <v>539436700000</v>
      </c>
      <c r="N147" s="4">
        <v>603713400000</v>
      </c>
      <c r="O147" s="4">
        <v>64276700000</v>
      </c>
      <c r="P147" s="3">
        <v>3.6854426709999999E-2</v>
      </c>
      <c r="Q147" s="3">
        <v>0.43775798999999999</v>
      </c>
      <c r="R147" s="3">
        <v>0.16130091769999999</v>
      </c>
      <c r="S147" s="4">
        <v>763480577619</v>
      </c>
      <c r="T147" s="3">
        <v>1.195502E-2</v>
      </c>
      <c r="U147" s="4">
        <v>9127425575</v>
      </c>
      <c r="V147" s="3">
        <v>5.2334055259999996E-3</v>
      </c>
      <c r="W147" s="3">
        <v>5.37288E-3</v>
      </c>
      <c r="X147" s="4">
        <v>33645.766620000002</v>
      </c>
      <c r="Y147" s="4">
        <v>33464.991959999999</v>
      </c>
      <c r="Z147" s="6">
        <v>0.92</v>
      </c>
      <c r="AA147" s="3">
        <v>1.0989010990000001E-2</v>
      </c>
      <c r="AB147" s="6">
        <v>0.32700000000000001</v>
      </c>
      <c r="AC147" s="3">
        <v>-1.5290519880000001E-2</v>
      </c>
      <c r="AD147" s="6">
        <v>0.59299999999999997</v>
      </c>
      <c r="AE147" s="3">
        <v>6.1223817809999997E-2</v>
      </c>
      <c r="AF147" s="3">
        <v>7.8223817809999999E-2</v>
      </c>
      <c r="AG147" s="3">
        <v>8.4223817810000004E-2</v>
      </c>
      <c r="AH147" s="3">
        <v>3.322381781E-2</v>
      </c>
      <c r="AI147" s="3">
        <v>0.25689527130000001</v>
      </c>
      <c r="AJ147" s="6">
        <v>0.30909528949999998</v>
      </c>
      <c r="AK147" s="4">
        <v>19844.740229999999</v>
      </c>
      <c r="AL147" t="s">
        <v>85</v>
      </c>
      <c r="AM147" t="s">
        <v>183</v>
      </c>
      <c r="AN147" t="str">
        <f t="shared" si="5"/>
        <v>Moderate Economic Resilience with Moderate Affordability.</v>
      </c>
      <c r="AP147" t="s">
        <v>40</v>
      </c>
    </row>
    <row r="148" spans="1:42" x14ac:dyDescent="0.4">
      <c r="A148" t="str">
        <f t="shared" si="4"/>
        <v>SOUTH KOREA|2021</v>
      </c>
      <c r="B148" s="1" t="s">
        <v>301</v>
      </c>
      <c r="C148" s="1">
        <v>2021</v>
      </c>
      <c r="D148" s="4">
        <v>96140000000000</v>
      </c>
      <c r="E148" s="3">
        <v>0.13439528019999999</v>
      </c>
      <c r="F148" s="2">
        <v>7950000000</v>
      </c>
      <c r="G148" s="3">
        <v>7.6045627380000001E-3</v>
      </c>
      <c r="H148" s="4">
        <v>1942314000000</v>
      </c>
      <c r="I148" s="3">
        <v>0.113667456</v>
      </c>
      <c r="J148" s="2">
        <v>51769539</v>
      </c>
      <c r="K148" s="3">
        <v>-1.2867445880000001E-3</v>
      </c>
      <c r="L148" s="3">
        <v>2.0202974830000001E-2</v>
      </c>
      <c r="M148" s="4">
        <v>698601300000</v>
      </c>
      <c r="N148" s="4">
        <v>764083200000</v>
      </c>
      <c r="O148" s="4">
        <v>65481900000</v>
      </c>
      <c r="P148" s="3">
        <v>3.3713343979999998E-2</v>
      </c>
      <c r="Q148" s="5">
        <v>0.45832892999999902</v>
      </c>
      <c r="R148" s="3">
        <v>4.6991580900000003E-2</v>
      </c>
      <c r="S148" s="4">
        <v>890218697344</v>
      </c>
      <c r="T148" s="3">
        <v>-2.8721599999999999E-3</v>
      </c>
      <c r="U148" s="4">
        <v>-2556850534</v>
      </c>
      <c r="V148" s="3">
        <v>-1.3163940199999999E-3</v>
      </c>
      <c r="W148" s="3">
        <v>2.4983330000000002E-2</v>
      </c>
      <c r="X148" s="4">
        <v>37518.472009999998</v>
      </c>
      <c r="Y148" s="4">
        <v>36581.13564</v>
      </c>
      <c r="Z148" s="6">
        <v>0.93</v>
      </c>
      <c r="AA148" s="3">
        <v>1.086956522E-2</v>
      </c>
      <c r="AB148" s="7">
        <v>0.32899999999999902</v>
      </c>
      <c r="AC148" s="3">
        <v>6.0790273560000002E-3</v>
      </c>
      <c r="AD148" s="6">
        <v>0.60099999999999998</v>
      </c>
      <c r="AE148" s="3">
        <v>6.4604018750000006E-2</v>
      </c>
      <c r="AF148" s="3">
        <v>8.1604018750000007E-2</v>
      </c>
      <c r="AG148" s="3">
        <v>8.7604018749999998E-2</v>
      </c>
      <c r="AH148" s="3">
        <v>3.6604018750000002E-2</v>
      </c>
      <c r="AI148" s="3">
        <v>0.27041607499999998</v>
      </c>
      <c r="AJ148" s="6">
        <v>0.32564878780000001</v>
      </c>
      <c r="AK148" s="4">
        <v>21985.26252</v>
      </c>
      <c r="AL148" t="s">
        <v>67</v>
      </c>
      <c r="AM148" t="s">
        <v>184</v>
      </c>
      <c r="AN148" t="str">
        <f t="shared" si="5"/>
        <v>Satisfactory Economic Resilience with Satisfactory Affordability.</v>
      </c>
      <c r="AP148" t="s">
        <v>40</v>
      </c>
    </row>
    <row r="149" spans="1:42" x14ac:dyDescent="0.4">
      <c r="A149" t="str">
        <f t="shared" si="4"/>
        <v>SOUTH KOREA|2022</v>
      </c>
      <c r="B149" s="1" t="s">
        <v>301</v>
      </c>
      <c r="C149" s="1">
        <v>2022</v>
      </c>
      <c r="D149" s="4">
        <v>101560000000000</v>
      </c>
      <c r="E149" s="3">
        <v>5.6376118160000002E-2</v>
      </c>
      <c r="F149" s="2">
        <v>8020000000</v>
      </c>
      <c r="G149" s="3">
        <v>8.8050314469999991E-3</v>
      </c>
      <c r="H149" s="4">
        <v>1799363000000</v>
      </c>
      <c r="I149" s="3">
        <v>-7.3598295640000005E-2</v>
      </c>
      <c r="J149" s="2">
        <v>51672569</v>
      </c>
      <c r="K149" s="3">
        <v>-1.873109204E-3</v>
      </c>
      <c r="L149" s="3">
        <v>1.7717241040000001E-2</v>
      </c>
      <c r="M149" s="4">
        <v>814936700000</v>
      </c>
      <c r="N149" s="4">
        <v>815019000000</v>
      </c>
      <c r="O149" s="4">
        <v>82300000</v>
      </c>
      <c r="P149" s="5">
        <v>4.5738408540000002E-5</v>
      </c>
      <c r="Q149" s="3">
        <v>0.47611065000000002</v>
      </c>
      <c r="R149" s="3">
        <v>3.8796852729999998E-2</v>
      </c>
      <c r="S149" s="4">
        <v>856695887516</v>
      </c>
      <c r="T149" s="5">
        <v>2.440529E-2</v>
      </c>
      <c r="U149" s="4">
        <v>20907911577</v>
      </c>
      <c r="V149" s="3">
        <v>1.1619618490000001E-2</v>
      </c>
      <c r="W149" s="5">
        <v>5.0895139999999998E-2</v>
      </c>
      <c r="X149" s="4">
        <v>34822.402580000002</v>
      </c>
      <c r="Y149" s="4">
        <v>33050.111519999999</v>
      </c>
      <c r="Z149" s="6">
        <v>0.93</v>
      </c>
      <c r="AA149" s="3">
        <v>0</v>
      </c>
      <c r="AB149" s="6">
        <v>0.33100000000000002</v>
      </c>
      <c r="AC149" s="3">
        <v>6.0422960730000001E-3</v>
      </c>
      <c r="AD149" s="6">
        <v>0.59899999999999998</v>
      </c>
      <c r="AE149" s="3">
        <v>6.8162125000000004E-2</v>
      </c>
      <c r="AF149" s="3">
        <v>8.5162125000000005E-2</v>
      </c>
      <c r="AG149" s="3">
        <v>9.1162124999999997E-2</v>
      </c>
      <c r="AH149" s="3">
        <v>4.0162125E-2</v>
      </c>
      <c r="AI149" s="3">
        <v>0.28464850000000003</v>
      </c>
      <c r="AJ149" s="6">
        <v>0.29079186099999998</v>
      </c>
      <c r="AK149" s="4">
        <v>19797.016800000001</v>
      </c>
      <c r="AL149" t="s">
        <v>85</v>
      </c>
      <c r="AM149" t="s">
        <v>185</v>
      </c>
      <c r="AN149" t="str">
        <f t="shared" si="5"/>
        <v>Moderate Economic Resilience with Moderate Affordability.</v>
      </c>
      <c r="AP149" t="s">
        <v>40</v>
      </c>
    </row>
    <row r="150" spans="1:42" x14ac:dyDescent="0.4">
      <c r="A150" t="str">
        <f t="shared" si="4"/>
        <v>SOUTH KOREA|2023</v>
      </c>
      <c r="B150" s="1" t="s">
        <v>301</v>
      </c>
      <c r="C150" s="1">
        <v>2023</v>
      </c>
      <c r="D150" s="4">
        <v>106800000000000</v>
      </c>
      <c r="E150" s="3">
        <v>5.1595116189999998E-2</v>
      </c>
      <c r="F150" s="2">
        <v>8090000000</v>
      </c>
      <c r="G150" s="3">
        <v>8.7281795509999999E-3</v>
      </c>
      <c r="H150" s="4">
        <v>1844801000000</v>
      </c>
      <c r="I150" s="3">
        <v>2.525226983E-2</v>
      </c>
      <c r="J150" s="2">
        <v>51712619</v>
      </c>
      <c r="K150" s="3">
        <v>7.7507274699999996E-4</v>
      </c>
      <c r="L150" s="3">
        <v>1.72734176E-2</v>
      </c>
      <c r="M150" s="4">
        <v>755197500000</v>
      </c>
      <c r="N150" s="4">
        <v>762299100000</v>
      </c>
      <c r="O150" s="4">
        <v>7101600000</v>
      </c>
      <c r="P150" s="3">
        <v>3.8495208969999998E-3</v>
      </c>
      <c r="Q150" s="3">
        <v>0.48554380000000003</v>
      </c>
      <c r="R150" s="3">
        <v>1.981293634E-2</v>
      </c>
      <c r="S150" s="4">
        <v>895731687784</v>
      </c>
      <c r="T150" s="3">
        <v>3.087726E-2</v>
      </c>
      <c r="U150" s="4">
        <v>27657740214</v>
      </c>
      <c r="V150" s="3">
        <v>1.499226215E-2</v>
      </c>
      <c r="W150" s="3">
        <v>3.5974560000000003E-2</v>
      </c>
      <c r="X150" s="4">
        <v>35674.097260000002</v>
      </c>
      <c r="Y150" s="4">
        <v>34390.737309999997</v>
      </c>
      <c r="Z150" s="6">
        <v>0.93</v>
      </c>
      <c r="AA150" s="3">
        <v>0</v>
      </c>
      <c r="AB150" s="6">
        <v>0.33200000000000002</v>
      </c>
      <c r="AC150" s="3">
        <v>3.0120481929999999E-3</v>
      </c>
      <c r="AD150" s="6">
        <v>0.59799999999999998</v>
      </c>
      <c r="AE150" s="3">
        <v>7.1907499999999999E-2</v>
      </c>
      <c r="AF150" s="3">
        <v>8.89075E-2</v>
      </c>
      <c r="AG150" s="3">
        <v>9.4907500000000006E-2</v>
      </c>
      <c r="AH150" s="3">
        <v>4.3907500000000002E-2</v>
      </c>
      <c r="AI150" s="3">
        <v>0.29963000000000001</v>
      </c>
      <c r="AJ150" s="6">
        <v>0.30576067629999998</v>
      </c>
      <c r="AK150" s="4">
        <v>20565.660909999999</v>
      </c>
      <c r="AL150" t="s">
        <v>67</v>
      </c>
      <c r="AM150" t="s">
        <v>68</v>
      </c>
      <c r="AN150" t="str">
        <f t="shared" si="5"/>
        <v>Moderate Economic Resilience with Satisfactory Affordability.</v>
      </c>
      <c r="AP150" t="s">
        <v>40</v>
      </c>
    </row>
    <row r="151" spans="1:42" x14ac:dyDescent="0.4">
      <c r="A151" t="str">
        <f t="shared" si="4"/>
        <v>SOUTH KOREA|2024</v>
      </c>
      <c r="B151" s="1" t="s">
        <v>301</v>
      </c>
      <c r="C151" s="1">
        <v>2024</v>
      </c>
      <c r="D151" s="4">
        <v>112600000000000</v>
      </c>
      <c r="E151" s="3">
        <v>5.4307116099999997E-2</v>
      </c>
      <c r="F151" s="2">
        <v>8161972572</v>
      </c>
      <c r="G151" s="3">
        <v>8.8964860320000002E-3</v>
      </c>
      <c r="H151" s="4">
        <v>1875388000000</v>
      </c>
      <c r="I151" s="3">
        <v>1.6580108100000001E-2</v>
      </c>
      <c r="J151" s="2">
        <v>51751065</v>
      </c>
      <c r="K151" s="3">
        <v>7.4345490019999999E-4</v>
      </c>
      <c r="L151" s="3">
        <v>1.6655310829999999E-2</v>
      </c>
      <c r="M151" s="4">
        <v>755486200000</v>
      </c>
      <c r="N151" s="4">
        <v>831889200000</v>
      </c>
      <c r="O151" s="4">
        <v>76403000000</v>
      </c>
      <c r="P151" s="3">
        <v>4.0739836240000001E-2</v>
      </c>
      <c r="Q151" s="3">
        <v>0.51547189999999998</v>
      </c>
      <c r="R151" s="3">
        <v>6.1638311520000003E-2</v>
      </c>
      <c r="S151" s="4">
        <v>966709815597</v>
      </c>
      <c r="T151" s="3">
        <v>6.3446899999999896E-3</v>
      </c>
      <c r="U151" s="4">
        <v>6133474100</v>
      </c>
      <c r="V151" s="3">
        <v>3.2705094090000001E-3</v>
      </c>
      <c r="W151" s="3">
        <v>2.3217430000000001E-2</v>
      </c>
      <c r="X151" s="4">
        <v>36238.635860000002</v>
      </c>
      <c r="Y151" s="4">
        <v>35397.267870000003</v>
      </c>
      <c r="Z151" s="6">
        <v>0.94</v>
      </c>
      <c r="AA151" s="3">
        <v>1.075268817E-2</v>
      </c>
      <c r="AB151" s="6">
        <v>0.33250000000000002</v>
      </c>
      <c r="AC151" s="3">
        <v>1.5037593980000001E-3</v>
      </c>
      <c r="AD151" s="6">
        <v>0.60750000000000004</v>
      </c>
      <c r="AE151" s="3">
        <v>7.5850000000000001E-2</v>
      </c>
      <c r="AF151" s="3">
        <v>9.2850000000000002E-2</v>
      </c>
      <c r="AG151" s="3">
        <v>9.8849999999999993E-2</v>
      </c>
      <c r="AH151" s="3">
        <v>4.7849999999999997E-2</v>
      </c>
      <c r="AI151" s="3">
        <v>0.31540000000000001</v>
      </c>
      <c r="AJ151" s="6">
        <v>0.36952463769999999</v>
      </c>
      <c r="AK151" s="4">
        <v>21503.840230000002</v>
      </c>
      <c r="AL151" t="s">
        <v>67</v>
      </c>
      <c r="AM151" t="s">
        <v>186</v>
      </c>
      <c r="AN151" t="str">
        <f t="shared" si="5"/>
        <v>Satisfactory Economic Resilience with Satisfactory Affordability.</v>
      </c>
      <c r="AP151" t="s">
        <v>40</v>
      </c>
    </row>
    <row r="152" spans="1:42" x14ac:dyDescent="0.4">
      <c r="A152" t="str">
        <f t="shared" si="4"/>
        <v>SOUTH KOREA|2025</v>
      </c>
      <c r="B152" s="1" t="s">
        <v>301</v>
      </c>
      <c r="C152" s="1">
        <v>2025</v>
      </c>
      <c r="D152" s="4">
        <v>113795678000000</v>
      </c>
      <c r="E152" s="3">
        <v>1.061880995E-2</v>
      </c>
      <c r="F152" s="2">
        <v>8231613070</v>
      </c>
      <c r="G152" s="3">
        <v>8.5323121809999999E-3</v>
      </c>
      <c r="H152" s="4">
        <v>1790000000000</v>
      </c>
      <c r="I152" s="3">
        <v>-4.5530844819999999E-2</v>
      </c>
      <c r="J152" s="2">
        <v>52100000</v>
      </c>
      <c r="K152" s="3">
        <v>6.7425665539999997E-3</v>
      </c>
      <c r="L152" s="3">
        <v>1.5729947139999999E-2</v>
      </c>
      <c r="M152" s="4">
        <v>831500000000</v>
      </c>
      <c r="N152" s="4">
        <v>883100000000</v>
      </c>
      <c r="O152" s="4">
        <v>51600000000</v>
      </c>
      <c r="P152" s="3">
        <v>2.882681564E-2</v>
      </c>
      <c r="Q152" s="3">
        <v>0.5454</v>
      </c>
      <c r="R152" s="3">
        <v>5.805961489E-2</v>
      </c>
      <c r="S152" s="4">
        <v>976266000000</v>
      </c>
      <c r="T152" s="3">
        <v>2.75E-2</v>
      </c>
      <c r="U152" s="4">
        <v>26847315000</v>
      </c>
      <c r="V152" s="3">
        <v>1.49985E-2</v>
      </c>
      <c r="W152" s="3">
        <v>2.3E-2</v>
      </c>
      <c r="X152" s="4">
        <v>34357.00576</v>
      </c>
      <c r="Y152" s="4">
        <v>33566.794629999997</v>
      </c>
      <c r="Z152" s="6">
        <v>0.93700000000000006</v>
      </c>
      <c r="AA152" s="3">
        <v>-3.1914893619999999E-3</v>
      </c>
      <c r="AB152" s="6">
        <v>0.33300000000000002</v>
      </c>
      <c r="AC152" s="3">
        <v>1.5015015020000001E-3</v>
      </c>
      <c r="AD152" s="6">
        <v>0.60399999999999998</v>
      </c>
      <c r="AE152" s="3">
        <v>0.08</v>
      </c>
      <c r="AF152" s="3">
        <v>9.7000000000000003E-2</v>
      </c>
      <c r="AG152" s="3">
        <v>0.10299999999999999</v>
      </c>
      <c r="AH152" s="3">
        <v>5.1999999999999998E-2</v>
      </c>
      <c r="AI152" s="3">
        <v>0.33200000000000002</v>
      </c>
      <c r="AJ152" s="6">
        <v>0.36155826279999997</v>
      </c>
      <c r="AK152" s="4">
        <v>20274.343949999999</v>
      </c>
      <c r="AL152" t="s">
        <v>67</v>
      </c>
      <c r="AM152" t="s">
        <v>81</v>
      </c>
      <c r="AN152" t="str">
        <f t="shared" si="5"/>
        <v>Satisfactory Economic Resilience with Satisfactory Affordability.</v>
      </c>
      <c r="AO152" t="s">
        <v>319</v>
      </c>
      <c r="AP152" t="s">
        <v>40</v>
      </c>
    </row>
    <row r="153" spans="1:42" x14ac:dyDescent="0.4">
      <c r="A153" t="str">
        <f t="shared" si="4"/>
        <v>SOUTH KOREA|2026</v>
      </c>
      <c r="B153" s="1" t="s">
        <v>301</v>
      </c>
      <c r="C153" s="1">
        <v>2026</v>
      </c>
      <c r="D153" s="4">
        <v>120063810405112</v>
      </c>
      <c r="E153" s="3">
        <v>5.5082341569999999E-2</v>
      </c>
      <c r="F153" s="2">
        <v>8302201675</v>
      </c>
      <c r="G153" s="3">
        <v>8.575306441E-3</v>
      </c>
      <c r="H153" s="4">
        <v>1830471529359</v>
      </c>
      <c r="I153" s="3">
        <v>2.2609792940000002E-2</v>
      </c>
      <c r="J153" s="2">
        <v>52034217.770000003</v>
      </c>
      <c r="K153" s="3">
        <v>-1.2626148520000001E-3</v>
      </c>
      <c r="L153" s="3">
        <v>1.524582239E-2</v>
      </c>
      <c r="M153" s="4">
        <v>881919028571</v>
      </c>
      <c r="N153" s="4">
        <v>923821457143</v>
      </c>
      <c r="O153" s="4">
        <v>41902428571</v>
      </c>
      <c r="P153" s="3">
        <v>2.2891603560000001E-2</v>
      </c>
      <c r="Q153" s="3">
        <v>0.57481000120000003</v>
      </c>
      <c r="R153" s="3">
        <v>5.3923727829999997E-2</v>
      </c>
      <c r="S153" s="4">
        <v>1052173341909</v>
      </c>
      <c r="T153" s="3">
        <v>1.7332382859999999E-2</v>
      </c>
      <c r="U153" s="4">
        <v>18236671194</v>
      </c>
      <c r="V153" s="3">
        <v>9.9628270099999996E-3</v>
      </c>
      <c r="W153" s="3">
        <v>3.878052429E-2</v>
      </c>
      <c r="X153" s="4">
        <v>35178.227099999996</v>
      </c>
      <c r="Y153" s="4">
        <v>33813.997009999999</v>
      </c>
      <c r="Z153" s="6">
        <v>0.94351147980000005</v>
      </c>
      <c r="AA153" s="3">
        <v>6.949284753E-3</v>
      </c>
      <c r="AB153" s="6">
        <v>0.33325760659999998</v>
      </c>
      <c r="AC153" s="3">
        <v>7.7299527260000004E-4</v>
      </c>
      <c r="AD153" s="6">
        <v>0.61025387330000003</v>
      </c>
      <c r="AE153" s="3">
        <v>8.4150000000000003E-2</v>
      </c>
      <c r="AF153" s="3">
        <v>0.10115</v>
      </c>
      <c r="AG153" s="3">
        <v>0.10715</v>
      </c>
      <c r="AH153" s="3">
        <v>5.6149999999999999E-2</v>
      </c>
      <c r="AI153" s="3">
        <v>0.34860000000000002</v>
      </c>
      <c r="AJ153" s="6">
        <v>0.37677459889999998</v>
      </c>
      <c r="AK153" s="4">
        <v>20635.122640000001</v>
      </c>
      <c r="AL153" t="s">
        <v>67</v>
      </c>
      <c r="AM153" t="s">
        <v>82</v>
      </c>
      <c r="AN153" t="str">
        <f t="shared" si="5"/>
        <v>Satisfactory Economic Resilience with Satisfactory Affordability.</v>
      </c>
      <c r="AP153" t="s">
        <v>40</v>
      </c>
    </row>
    <row r="154" spans="1:42" x14ac:dyDescent="0.4">
      <c r="A154" t="str">
        <f t="shared" si="4"/>
        <v>SOUTH KOREA|2027</v>
      </c>
      <c r="B154" s="1" t="s">
        <v>301</v>
      </c>
      <c r="C154" s="1">
        <v>2027</v>
      </c>
      <c r="D154" s="4">
        <v>125735541889780</v>
      </c>
      <c r="E154" s="3">
        <v>4.7239309379999997E-2</v>
      </c>
      <c r="F154" s="2">
        <v>8372937901</v>
      </c>
      <c r="G154" s="3">
        <v>8.5201768609999996E-3</v>
      </c>
      <c r="H154" s="4">
        <v>1850400034695</v>
      </c>
      <c r="I154" s="3">
        <v>1.0887088390000001E-2</v>
      </c>
      <c r="J154" s="2">
        <v>52036995.789999999</v>
      </c>
      <c r="K154" s="5" t="s">
        <v>187</v>
      </c>
      <c r="L154" s="3">
        <v>1.471660285E-2</v>
      </c>
      <c r="M154" s="4">
        <v>923912407143</v>
      </c>
      <c r="N154" s="4">
        <v>965179875000</v>
      </c>
      <c r="O154" s="4">
        <v>41267467857</v>
      </c>
      <c r="P154" s="3">
        <v>2.2301916929999999E-2</v>
      </c>
      <c r="Q154" s="3">
        <v>0.60374930569999996</v>
      </c>
      <c r="R154" s="3">
        <v>5.0345861200000001E-2</v>
      </c>
      <c r="S154" s="4">
        <v>1117177736200</v>
      </c>
      <c r="T154" s="3">
        <v>1.6695257500000001E-2</v>
      </c>
      <c r="U154" s="4">
        <v>18651569979</v>
      </c>
      <c r="V154" s="3">
        <v>1.007975012E-2</v>
      </c>
      <c r="W154" s="3">
        <v>4.2501607499999997E-2</v>
      </c>
      <c r="X154" s="4">
        <v>35559.317110000004</v>
      </c>
      <c r="Y154" s="4">
        <v>34047.988969999999</v>
      </c>
      <c r="Z154" s="6">
        <v>0.94860251169999998</v>
      </c>
      <c r="AA154" s="3">
        <v>5.3958345710000003E-3</v>
      </c>
      <c r="AB154" s="6">
        <v>0.3336722593</v>
      </c>
      <c r="AC154" s="3">
        <v>1.2426947730000001E-3</v>
      </c>
      <c r="AD154" s="6">
        <v>0.61493025229999998</v>
      </c>
      <c r="AE154" s="3">
        <v>8.8507500000000003E-2</v>
      </c>
      <c r="AF154" s="3">
        <v>0.1055075</v>
      </c>
      <c r="AG154" s="3">
        <v>0.1115075</v>
      </c>
      <c r="AH154" s="3">
        <v>6.0507499999999999E-2</v>
      </c>
      <c r="AI154" s="3">
        <v>0.36603000000000002</v>
      </c>
      <c r="AJ154" s="6">
        <v>0.3929687697</v>
      </c>
      <c r="AK154" s="4">
        <v>20937.138449999999</v>
      </c>
      <c r="AL154" t="s">
        <v>67</v>
      </c>
      <c r="AM154" t="s">
        <v>83</v>
      </c>
      <c r="AN154" t="str">
        <f t="shared" si="5"/>
        <v>Satisfactory Economic Resilience with Satisfactory Affordability.</v>
      </c>
      <c r="AP154" t="s">
        <v>40</v>
      </c>
    </row>
    <row r="155" spans="1:42" x14ac:dyDescent="0.4">
      <c r="A155" t="str">
        <f t="shared" si="4"/>
        <v>SOUTH KOREA|2028</v>
      </c>
      <c r="B155" s="1" t="s">
        <v>301</v>
      </c>
      <c r="C155" s="1">
        <v>2028</v>
      </c>
      <c r="D155" s="4">
        <v>131237442252096</v>
      </c>
      <c r="E155" s="3">
        <v>4.375771782E-2</v>
      </c>
      <c r="F155" s="2">
        <v>8443822776</v>
      </c>
      <c r="G155" s="3">
        <v>8.465950178E-3</v>
      </c>
      <c r="H155" s="4">
        <v>1863312067253</v>
      </c>
      <c r="I155" s="3">
        <v>6.9779681780000003E-3</v>
      </c>
      <c r="J155" s="2">
        <v>52063120.950000003</v>
      </c>
      <c r="K155" s="3">
        <v>5.0204975720000004E-4</v>
      </c>
      <c r="L155" s="3">
        <v>1.4198021809999999E-2</v>
      </c>
      <c r="M155" s="4">
        <v>965905785714</v>
      </c>
      <c r="N155" s="4">
        <v>1006538292857</v>
      </c>
      <c r="O155" s="4">
        <v>40632507143</v>
      </c>
      <c r="P155" s="3">
        <v>2.1806603340000001E-2</v>
      </c>
      <c r="Q155" s="3">
        <v>0.63278648569999996</v>
      </c>
      <c r="R155" s="3">
        <v>4.8094763470000003E-2</v>
      </c>
      <c r="S155" s="4">
        <v>1179078694882</v>
      </c>
      <c r="T155" s="3">
        <v>1.605813214E-2</v>
      </c>
      <c r="U155" s="4">
        <v>18933801489</v>
      </c>
      <c r="V155" s="3">
        <v>1.0161369010000001E-2</v>
      </c>
      <c r="W155" s="3">
        <v>4.622269071E-2</v>
      </c>
      <c r="X155" s="4">
        <v>35789.480790000001</v>
      </c>
      <c r="Y155" s="4">
        <v>34135.194689999997</v>
      </c>
      <c r="Z155" s="6">
        <v>0.95321197390000001</v>
      </c>
      <c r="AA155" s="3">
        <v>4.859213605E-3</v>
      </c>
      <c r="AB155" s="6">
        <v>0.33414040960000002</v>
      </c>
      <c r="AC155" s="3">
        <v>1.401058584E-3</v>
      </c>
      <c r="AD155" s="6">
        <v>0.61907156429999999</v>
      </c>
      <c r="AE155" s="3">
        <v>9.3082874999999995E-2</v>
      </c>
      <c r="AF155" s="3">
        <v>0.110082875</v>
      </c>
      <c r="AG155" s="3">
        <v>0.116082875</v>
      </c>
      <c r="AH155" s="3">
        <v>6.5082874999999998E-2</v>
      </c>
      <c r="AI155" s="3">
        <v>0.38433149999999999</v>
      </c>
      <c r="AJ155" s="6">
        <v>0.41017475609999998</v>
      </c>
      <c r="AK155" s="4">
        <v>21132.128369999999</v>
      </c>
      <c r="AL155" t="s">
        <v>67</v>
      </c>
      <c r="AM155" t="s">
        <v>84</v>
      </c>
      <c r="AN155" t="str">
        <f t="shared" si="5"/>
        <v>Good Economic Resilience with Satisfactory Affordability.</v>
      </c>
      <c r="AP155" t="s">
        <v>40</v>
      </c>
    </row>
    <row r="156" spans="1:42" x14ac:dyDescent="0.4">
      <c r="A156" t="str">
        <f t="shared" si="4"/>
        <v>SOUTH KOREA|2029</v>
      </c>
      <c r="B156" s="1" t="s">
        <v>301</v>
      </c>
      <c r="C156" s="1">
        <v>2029</v>
      </c>
      <c r="D156" s="4">
        <v>136712479650225</v>
      </c>
      <c r="E156" s="3">
        <v>4.1718562200000003E-2</v>
      </c>
      <c r="F156" s="2">
        <v>8514849364</v>
      </c>
      <c r="G156" s="3">
        <v>8.4116624760000001E-3</v>
      </c>
      <c r="H156" s="4">
        <v>1873723266233</v>
      </c>
      <c r="I156" s="3">
        <v>5.5874693050000004E-3</v>
      </c>
      <c r="J156" s="2">
        <v>52097555.049999997</v>
      </c>
      <c r="K156" s="3">
        <v>6.6139127019999996E-4</v>
      </c>
      <c r="L156" s="3">
        <v>1.3705575899999999E-2</v>
      </c>
      <c r="M156" s="4">
        <v>1007899164286</v>
      </c>
      <c r="N156" s="4">
        <v>1047836591567</v>
      </c>
      <c r="O156" s="4">
        <v>39937427282</v>
      </c>
      <c r="P156" s="3">
        <v>2.1314474770000001E-2</v>
      </c>
      <c r="Q156" s="3">
        <v>0.66209655860000005</v>
      </c>
      <c r="R156" s="3">
        <v>4.6319056249999997E-2</v>
      </c>
      <c r="S156" s="4">
        <v>1240585726283</v>
      </c>
      <c r="T156" s="3">
        <v>1.542100679E-2</v>
      </c>
      <c r="U156" s="4">
        <v>19131080903</v>
      </c>
      <c r="V156" s="3">
        <v>1.021019552E-2</v>
      </c>
      <c r="W156" s="3">
        <v>4.9943773929999997E-2</v>
      </c>
      <c r="X156" s="4">
        <v>35965.666039999996</v>
      </c>
      <c r="Y156" s="4">
        <v>34169.40494</v>
      </c>
      <c r="Z156" s="6">
        <v>0.95765270089999999</v>
      </c>
      <c r="AA156" s="3">
        <v>4.658698266E-3</v>
      </c>
      <c r="AB156" s="6">
        <v>0.33462764099999998</v>
      </c>
      <c r="AC156" s="3">
        <v>1.45604049E-3</v>
      </c>
      <c r="AD156" s="6">
        <v>0.62302505990000001</v>
      </c>
      <c r="AE156" s="3">
        <v>9.7887018749999999E-2</v>
      </c>
      <c r="AF156" s="3">
        <v>0.1148870188</v>
      </c>
      <c r="AG156" s="3">
        <v>0.1208870188</v>
      </c>
      <c r="AH156" s="3">
        <v>6.9887018750000002E-2</v>
      </c>
      <c r="AI156" s="3">
        <v>0.40354807500000001</v>
      </c>
      <c r="AJ156" s="6">
        <v>0.42835793010000001</v>
      </c>
      <c r="AK156" s="4">
        <v>21288.395560000001</v>
      </c>
      <c r="AL156" t="s">
        <v>67</v>
      </c>
      <c r="AM156" t="s">
        <v>188</v>
      </c>
      <c r="AN156" t="str">
        <f t="shared" si="5"/>
        <v>Good Economic Resilience with Satisfactory Affordability.</v>
      </c>
      <c r="AP156" t="s">
        <v>40</v>
      </c>
    </row>
    <row r="157" spans="1:42" x14ac:dyDescent="0.4">
      <c r="A157" t="str">
        <f t="shared" si="4"/>
        <v>SOUTH KOREA|2030</v>
      </c>
      <c r="B157" s="1" t="s">
        <v>301</v>
      </c>
      <c r="C157" s="1">
        <v>2030</v>
      </c>
      <c r="D157" s="4">
        <v>141834754671550</v>
      </c>
      <c r="E157" s="3"/>
      <c r="F157" s="2">
        <v>8586617399</v>
      </c>
      <c r="G157" s="3"/>
      <c r="H157" s="4">
        <v>1854459244490</v>
      </c>
      <c r="I157" s="3"/>
      <c r="J157" s="2">
        <v>52169395.079999998</v>
      </c>
      <c r="K157" s="3"/>
      <c r="L157" s="3">
        <v>1.3074787270000001E-2</v>
      </c>
      <c r="M157" s="4">
        <v>1049892542857</v>
      </c>
      <c r="N157" s="4">
        <v>1094824381966</v>
      </c>
      <c r="O157" s="4">
        <v>44931839109</v>
      </c>
      <c r="P157" s="3">
        <v>2.4229078769999999E-2</v>
      </c>
      <c r="Q157" s="3">
        <v>0.6917246131</v>
      </c>
      <c r="R157" s="3"/>
      <c r="S157" s="4">
        <v>1282775103407</v>
      </c>
      <c r="T157" s="3">
        <v>1.478388143E-2</v>
      </c>
      <c r="U157" s="4">
        <v>18964395028</v>
      </c>
      <c r="V157" s="3">
        <v>1.0226374660000001E-2</v>
      </c>
      <c r="W157" s="3">
        <v>5.3664857140000001E-2</v>
      </c>
      <c r="X157" s="4">
        <v>35546.880340000003</v>
      </c>
      <c r="Y157" s="4">
        <v>33639.262089999997</v>
      </c>
      <c r="Z157" s="6">
        <v>0.9620338974</v>
      </c>
      <c r="AA157" s="3"/>
      <c r="AB157" s="6">
        <v>0.33512195719999999</v>
      </c>
      <c r="AC157" s="3"/>
      <c r="AD157" s="6">
        <v>0.62691194019999996</v>
      </c>
      <c r="AE157" s="3">
        <v>0.1029313697</v>
      </c>
      <c r="AF157" s="3">
        <v>0.1199313697</v>
      </c>
      <c r="AG157" s="3">
        <v>0.12593136969999999</v>
      </c>
      <c r="AH157" s="3">
        <v>7.4931369689999999E-2</v>
      </c>
      <c r="AI157" s="3">
        <v>0.4237254788</v>
      </c>
      <c r="AJ157" s="6">
        <v>0.45080297009999998</v>
      </c>
      <c r="AK157" s="4">
        <v>21088.855060000002</v>
      </c>
      <c r="AL157" t="s">
        <v>67</v>
      </c>
      <c r="AM157" t="s">
        <v>189</v>
      </c>
      <c r="AN157" t="str">
        <f t="shared" si="5"/>
        <v>Good Economic Resilience with Satisfactory Affordability.</v>
      </c>
      <c r="AP157" t="s">
        <v>40</v>
      </c>
    </row>
    <row r="158" spans="1:42" x14ac:dyDescent="0.4">
      <c r="A158" t="str">
        <f t="shared" si="4"/>
        <v>SPAIN|2019</v>
      </c>
      <c r="B158" s="1" t="s">
        <v>191</v>
      </c>
      <c r="C158" s="1">
        <v>2019</v>
      </c>
      <c r="D158" s="4">
        <v>87700000000000</v>
      </c>
      <c r="E158" s="3"/>
      <c r="F158" s="2">
        <v>7810000000</v>
      </c>
      <c r="G158" s="3"/>
      <c r="H158" s="4">
        <v>1403496000000</v>
      </c>
      <c r="I158" s="3"/>
      <c r="J158" s="2">
        <v>47118501</v>
      </c>
      <c r="K158" s="3"/>
      <c r="L158" s="3">
        <v>1.6003375140000001E-2</v>
      </c>
      <c r="M158" s="4">
        <v>444777300000</v>
      </c>
      <c r="N158" s="4">
        <v>486670300000</v>
      </c>
      <c r="O158" s="4">
        <v>41893000000</v>
      </c>
      <c r="P158" s="3">
        <v>2.984903413E-2</v>
      </c>
      <c r="Q158" s="5">
        <v>1.1129310099999901</v>
      </c>
      <c r="R158" s="3"/>
      <c r="S158" s="4">
        <v>1561994220811</v>
      </c>
      <c r="T158" s="3">
        <v>0</v>
      </c>
      <c r="U158" s="4">
        <v>0</v>
      </c>
      <c r="V158" s="3">
        <v>0</v>
      </c>
      <c r="W158" s="3">
        <v>6.9951900000000001E-3</v>
      </c>
      <c r="X158" s="4">
        <v>29786.516339999998</v>
      </c>
      <c r="Y158" s="4">
        <v>29578.153999999999</v>
      </c>
      <c r="Z158" s="6">
        <v>0.89</v>
      </c>
      <c r="AA158" s="3"/>
      <c r="AB158" s="7">
        <v>0.34299999999999897</v>
      </c>
      <c r="AC158" s="3"/>
      <c r="AD158" s="6">
        <v>0.54700000000000004</v>
      </c>
      <c r="AE158" s="3">
        <v>7.4184592290000004E-2</v>
      </c>
      <c r="AF158" s="3">
        <v>7.4184592290000004E-2</v>
      </c>
      <c r="AG158" s="3">
        <v>0.16618459229999999</v>
      </c>
      <c r="AH158" s="3">
        <v>1.638459229E-2</v>
      </c>
      <c r="AI158" s="3">
        <v>0.33093836920000003</v>
      </c>
      <c r="AJ158" s="6">
        <v>0.37679077840000003</v>
      </c>
      <c r="AK158" s="4">
        <v>16179.250239999999</v>
      </c>
      <c r="AL158" t="s">
        <v>85</v>
      </c>
      <c r="AM158" t="s">
        <v>190</v>
      </c>
      <c r="AN158" t="str">
        <f t="shared" si="5"/>
        <v>Satisfactory Economic Resilience with Moderate Affordability.</v>
      </c>
      <c r="AP158" t="s">
        <v>40</v>
      </c>
    </row>
    <row r="159" spans="1:42" x14ac:dyDescent="0.4">
      <c r="A159" t="str">
        <f t="shared" si="4"/>
        <v>SPAIN|2020</v>
      </c>
      <c r="B159" s="1" t="s">
        <v>191</v>
      </c>
      <c r="C159" s="1">
        <v>2020</v>
      </c>
      <c r="D159" s="4">
        <v>84750000000000</v>
      </c>
      <c r="E159" s="3">
        <v>-3.3637400230000003E-2</v>
      </c>
      <c r="F159" s="2">
        <v>7890000000</v>
      </c>
      <c r="G159" s="3">
        <v>1.0243277849999999E-2</v>
      </c>
      <c r="H159" s="4">
        <v>1289784000000</v>
      </c>
      <c r="I159" s="3">
        <v>-8.102053729E-2</v>
      </c>
      <c r="J159" s="2">
        <v>47359424</v>
      </c>
      <c r="K159" s="3">
        <v>5.1131295539999996E-3</v>
      </c>
      <c r="L159" s="3">
        <v>1.521869027E-2</v>
      </c>
      <c r="M159" s="4">
        <v>373587200000</v>
      </c>
      <c r="N159" s="4">
        <v>393139300000</v>
      </c>
      <c r="O159" s="4">
        <v>19552100000</v>
      </c>
      <c r="P159" s="3">
        <v>1.515920495E-2</v>
      </c>
      <c r="Q159" s="3">
        <v>1.38955246</v>
      </c>
      <c r="R159" s="3">
        <v>0.24855219910000001</v>
      </c>
      <c r="S159" s="4">
        <v>1792222530069</v>
      </c>
      <c r="T159" s="3">
        <v>0</v>
      </c>
      <c r="U159" s="4">
        <v>0</v>
      </c>
      <c r="V159" s="3">
        <v>0</v>
      </c>
      <c r="W159" s="3">
        <v>-3.2275300000000002E-3</v>
      </c>
      <c r="X159" s="4">
        <v>27233.946090000001</v>
      </c>
      <c r="Y159" s="4">
        <v>27321.84447</v>
      </c>
      <c r="Z159" s="6">
        <v>0.9</v>
      </c>
      <c r="AA159" s="3">
        <v>1.123595506E-2</v>
      </c>
      <c r="AB159" s="6">
        <v>0.34899999999999998</v>
      </c>
      <c r="AC159" s="3">
        <v>1.719197708E-2</v>
      </c>
      <c r="AD159" s="6">
        <v>0.55100000000000005</v>
      </c>
      <c r="AE159" s="3">
        <v>7.8539044520000004E-2</v>
      </c>
      <c r="AF159" s="3">
        <v>7.8539044520000004E-2</v>
      </c>
      <c r="AG159" s="3">
        <v>0.17053904449999999</v>
      </c>
      <c r="AH159" s="3">
        <v>2.073904452E-2</v>
      </c>
      <c r="AI159" s="3">
        <v>0.34835617810000002</v>
      </c>
      <c r="AJ159" s="6">
        <v>0.37873407329999997</v>
      </c>
      <c r="AK159" s="4">
        <v>15054.336300000001</v>
      </c>
      <c r="AL159" t="s">
        <v>85</v>
      </c>
      <c r="AM159" t="s">
        <v>190</v>
      </c>
      <c r="AN159" t="str">
        <f t="shared" si="5"/>
        <v>Satisfactory Economic Resilience with Moderate Affordability.</v>
      </c>
      <c r="AP159" t="s">
        <v>40</v>
      </c>
    </row>
    <row r="160" spans="1:42" x14ac:dyDescent="0.4">
      <c r="A160" t="str">
        <f t="shared" si="4"/>
        <v>SPAIN|2021</v>
      </c>
      <c r="B160" s="1" t="s">
        <v>191</v>
      </c>
      <c r="C160" s="1">
        <v>2021</v>
      </c>
      <c r="D160" s="4">
        <v>96140000000000</v>
      </c>
      <c r="E160" s="3">
        <v>0.13439528019999999</v>
      </c>
      <c r="F160" s="2">
        <v>7950000000</v>
      </c>
      <c r="G160" s="3">
        <v>7.6045627380000001E-3</v>
      </c>
      <c r="H160" s="4">
        <v>1461245000000</v>
      </c>
      <c r="I160" s="3">
        <v>0.1329377632</v>
      </c>
      <c r="J160" s="2">
        <v>47443821</v>
      </c>
      <c r="K160" s="3">
        <v>1.7820529239999999E-3</v>
      </c>
      <c r="L160" s="3">
        <v>1.5199136679999999E-2</v>
      </c>
      <c r="M160" s="4">
        <v>478813500000</v>
      </c>
      <c r="N160" s="4">
        <v>493273700000</v>
      </c>
      <c r="O160" s="4">
        <v>14460200000</v>
      </c>
      <c r="P160" s="3">
        <v>9.8958080270000002E-3</v>
      </c>
      <c r="Q160" s="5">
        <v>1.3254675899999999</v>
      </c>
      <c r="R160" s="3">
        <v>-4.611907204E-2</v>
      </c>
      <c r="S160" s="4">
        <v>1936832888550</v>
      </c>
      <c r="T160" s="3">
        <v>0</v>
      </c>
      <c r="U160" s="4">
        <v>0</v>
      </c>
      <c r="V160" s="3">
        <v>0</v>
      </c>
      <c r="W160" s="5">
        <v>3.093135E-2</v>
      </c>
      <c r="X160" s="4">
        <v>30799.479660000001</v>
      </c>
      <c r="Y160" s="4">
        <v>29846.81018</v>
      </c>
      <c r="Z160" s="6">
        <v>0.91</v>
      </c>
      <c r="AA160" s="3">
        <v>1.111111111E-2</v>
      </c>
      <c r="AB160" s="7">
        <v>0.33899999999999902</v>
      </c>
      <c r="AC160" s="3">
        <v>-2.949852507E-2</v>
      </c>
      <c r="AD160" s="6">
        <v>0.57099999999999995</v>
      </c>
      <c r="AE160" s="3">
        <v>8.312267844E-2</v>
      </c>
      <c r="AF160" s="3">
        <v>8.312267844E-2</v>
      </c>
      <c r="AG160" s="3">
        <v>0.17512267840000001</v>
      </c>
      <c r="AH160" s="3">
        <v>2.5322678439999999E-2</v>
      </c>
      <c r="AI160" s="3">
        <v>0.36669071380000001</v>
      </c>
      <c r="AJ160" s="6">
        <v>0.39178565850000002</v>
      </c>
      <c r="AK160" s="4">
        <v>17042.528610000001</v>
      </c>
      <c r="AL160" t="s">
        <v>85</v>
      </c>
      <c r="AM160" t="s">
        <v>192</v>
      </c>
      <c r="AN160" t="str">
        <f t="shared" si="5"/>
        <v>Satisfactory Economic Resilience with Moderate Affordability.</v>
      </c>
      <c r="AP160" t="s">
        <v>40</v>
      </c>
    </row>
    <row r="161" spans="1:42" x14ac:dyDescent="0.4">
      <c r="A161" t="str">
        <f t="shared" si="4"/>
        <v>SPAIN|2022</v>
      </c>
      <c r="B161" s="1" t="s">
        <v>191</v>
      </c>
      <c r="C161" s="1">
        <v>2022</v>
      </c>
      <c r="D161" s="4">
        <v>101560000000000</v>
      </c>
      <c r="E161" s="3">
        <v>5.6376118160000002E-2</v>
      </c>
      <c r="F161" s="2">
        <v>8020000000</v>
      </c>
      <c r="G161" s="3">
        <v>8.8050314469999991E-3</v>
      </c>
      <c r="H161" s="4">
        <v>1448851000000</v>
      </c>
      <c r="I161" s="3">
        <v>-8.4818083209999996E-3</v>
      </c>
      <c r="J161" s="2">
        <v>47786102</v>
      </c>
      <c r="K161" s="3">
        <v>7.214448432E-3</v>
      </c>
      <c r="L161" s="3">
        <v>1.426596101E-2</v>
      </c>
      <c r="M161" s="4">
        <v>562067900000</v>
      </c>
      <c r="N161" s="4">
        <v>574783400000</v>
      </c>
      <c r="O161" s="4">
        <v>12715500000</v>
      </c>
      <c r="P161" s="3">
        <v>8.7762647780000001E-3</v>
      </c>
      <c r="Q161" s="3">
        <v>1.0904062299999999</v>
      </c>
      <c r="R161" s="3">
        <v>-0.17734221629999999</v>
      </c>
      <c r="S161" s="4">
        <v>1579836156742</v>
      </c>
      <c r="T161" s="3">
        <v>2.5000000000000001E-2</v>
      </c>
      <c r="U161" s="4">
        <v>39495903919</v>
      </c>
      <c r="V161" s="3">
        <v>2.7260155750000001E-2</v>
      </c>
      <c r="W161" s="3">
        <v>8.3905759999999996E-2</v>
      </c>
      <c r="X161" s="4">
        <v>30319.505870000001</v>
      </c>
      <c r="Y161" s="4">
        <v>27775.524689999998</v>
      </c>
      <c r="Z161" s="6">
        <v>0.91</v>
      </c>
      <c r="AA161" s="3">
        <v>0</v>
      </c>
      <c r="AB161" s="6">
        <v>0.33600000000000002</v>
      </c>
      <c r="AC161" s="3">
        <v>-8.9285714290000002E-3</v>
      </c>
      <c r="AD161" s="6">
        <v>0.57399999999999995</v>
      </c>
      <c r="AE161" s="3">
        <v>8.7947556250000003E-2</v>
      </c>
      <c r="AF161" s="3">
        <v>8.7947556250000003E-2</v>
      </c>
      <c r="AG161" s="3">
        <v>0.17994755630000001</v>
      </c>
      <c r="AH161" s="3">
        <v>3.0147556249999999E-2</v>
      </c>
      <c r="AI161" s="3">
        <v>0.38599022500000002</v>
      </c>
      <c r="AJ161" s="6">
        <v>0.38177229499999998</v>
      </c>
      <c r="AK161" s="4">
        <v>15943.151169999999</v>
      </c>
      <c r="AL161" t="s">
        <v>85</v>
      </c>
      <c r="AM161" t="s">
        <v>190</v>
      </c>
      <c r="AN161" t="str">
        <f t="shared" si="5"/>
        <v>Satisfactory Economic Resilience with Moderate Affordability.</v>
      </c>
      <c r="AP161" t="s">
        <v>40</v>
      </c>
    </row>
    <row r="162" spans="1:42" x14ac:dyDescent="0.4">
      <c r="A162" t="str">
        <f t="shared" si="4"/>
        <v>SPAIN|2023</v>
      </c>
      <c r="B162" s="1" t="s">
        <v>191</v>
      </c>
      <c r="C162" s="1">
        <v>2023</v>
      </c>
      <c r="D162" s="4">
        <v>106800000000000</v>
      </c>
      <c r="E162" s="3">
        <v>5.1595116189999998E-2</v>
      </c>
      <c r="F162" s="2">
        <v>8090000000</v>
      </c>
      <c r="G162" s="3">
        <v>8.7281795509999999E-3</v>
      </c>
      <c r="H162" s="4">
        <v>1619482000000</v>
      </c>
      <c r="I162" s="3">
        <v>0.1177698742</v>
      </c>
      <c r="J162" s="2">
        <v>48352528</v>
      </c>
      <c r="K162" s="3">
        <v>1.185336272E-2</v>
      </c>
      <c r="L162" s="3">
        <v>1.516368914E-2</v>
      </c>
      <c r="M162" s="4">
        <v>550316000000</v>
      </c>
      <c r="N162" s="4">
        <v>612433800000</v>
      </c>
      <c r="O162" s="4">
        <v>62117800000</v>
      </c>
      <c r="P162" s="3">
        <v>3.8356585620000001E-2</v>
      </c>
      <c r="Q162" s="3">
        <v>1.0730028700000001</v>
      </c>
      <c r="R162" s="3">
        <v>-1.5960437059999999E-2</v>
      </c>
      <c r="S162" s="4">
        <v>1737708833913</v>
      </c>
      <c r="T162" s="3">
        <v>4.4999999999999998E-2</v>
      </c>
      <c r="U162" s="4">
        <v>78196897526</v>
      </c>
      <c r="V162" s="3">
        <v>4.8285129150000002E-2</v>
      </c>
      <c r="W162" s="3">
        <v>3.5323609999999998E-2</v>
      </c>
      <c r="X162" s="4">
        <v>33493.22294</v>
      </c>
      <c r="Y162" s="4">
        <v>32310.12139</v>
      </c>
      <c r="Z162" s="6">
        <v>0.92</v>
      </c>
      <c r="AA162" s="3">
        <v>1.0989010990000001E-2</v>
      </c>
      <c r="AB162" s="7">
        <v>0.33399999999999902</v>
      </c>
      <c r="AC162" s="3">
        <v>-5.988023952E-3</v>
      </c>
      <c r="AD162" s="6">
        <v>0.58599999999999997</v>
      </c>
      <c r="AE162" s="3">
        <v>9.3026374999999994E-2</v>
      </c>
      <c r="AF162" s="3">
        <v>9.3026374999999994E-2</v>
      </c>
      <c r="AG162" s="3">
        <v>0.18502637499999999</v>
      </c>
      <c r="AH162" s="3">
        <v>3.5226374999999997E-2</v>
      </c>
      <c r="AI162" s="3">
        <v>0.40630549999999999</v>
      </c>
      <c r="AJ162" s="6">
        <v>0.41154064559999998</v>
      </c>
      <c r="AK162" s="4">
        <v>18933.73114</v>
      </c>
      <c r="AL162" t="s">
        <v>85</v>
      </c>
      <c r="AM162" t="s">
        <v>193</v>
      </c>
      <c r="AN162" t="str">
        <f t="shared" si="5"/>
        <v>Good Economic Resilience with Moderate Affordability.</v>
      </c>
      <c r="AP162" t="s">
        <v>40</v>
      </c>
    </row>
    <row r="163" spans="1:42" x14ac:dyDescent="0.4">
      <c r="A163" t="str">
        <f t="shared" si="4"/>
        <v>SPAIN|2024</v>
      </c>
      <c r="B163" s="1" t="s">
        <v>191</v>
      </c>
      <c r="C163" s="1">
        <v>2024</v>
      </c>
      <c r="D163" s="4">
        <v>112600000000000</v>
      </c>
      <c r="E163" s="3">
        <v>5.4307116099999997E-2</v>
      </c>
      <c r="F163" s="2">
        <v>8161972572</v>
      </c>
      <c r="G163" s="3">
        <v>8.8964860320000002E-3</v>
      </c>
      <c r="H163" s="4">
        <v>1725672000000</v>
      </c>
      <c r="I163" s="3">
        <v>6.5570349040000003E-2</v>
      </c>
      <c r="J163" s="2">
        <v>48848840</v>
      </c>
      <c r="K163" s="3">
        <v>1.0264447810000001E-2</v>
      </c>
      <c r="L163" s="3">
        <v>1.532568384E-2</v>
      </c>
      <c r="M163" s="4">
        <v>567649000000</v>
      </c>
      <c r="N163" s="4">
        <v>639462800000</v>
      </c>
      <c r="O163" s="4">
        <v>71813800000</v>
      </c>
      <c r="P163" s="3">
        <v>4.1614976659999997E-2</v>
      </c>
      <c r="Q163" s="3">
        <v>1.0585014349999999</v>
      </c>
      <c r="R163" s="3">
        <v>-1.3514814740000001E-2</v>
      </c>
      <c r="S163" s="4">
        <v>1826626288339</v>
      </c>
      <c r="T163" s="3">
        <v>3.15E-2</v>
      </c>
      <c r="U163" s="4">
        <v>57538728083</v>
      </c>
      <c r="V163" s="3">
        <v>3.3342795199999997E-2</v>
      </c>
      <c r="W163" s="3">
        <v>2.7741780000000001E-2</v>
      </c>
      <c r="X163" s="4">
        <v>35326.775419999998</v>
      </c>
      <c r="Y163" s="4">
        <v>34346.747779999998</v>
      </c>
      <c r="Z163" s="6">
        <v>0.92</v>
      </c>
      <c r="AA163" s="3">
        <v>0</v>
      </c>
      <c r="AB163" s="6">
        <v>0.32300000000000001</v>
      </c>
      <c r="AC163" s="3">
        <v>-3.4055727549999998E-2</v>
      </c>
      <c r="AD163" s="6">
        <v>0.59699999999999998</v>
      </c>
      <c r="AE163" s="3">
        <v>9.8372500000000002E-2</v>
      </c>
      <c r="AF163" s="3">
        <v>9.8372500000000002E-2</v>
      </c>
      <c r="AG163" s="3">
        <v>0.1903725</v>
      </c>
      <c r="AH163" s="3">
        <v>4.0572499999999997E-2</v>
      </c>
      <c r="AI163" s="3">
        <v>0.42769000000000001</v>
      </c>
      <c r="AJ163" s="6">
        <v>0.45128786529999998</v>
      </c>
      <c r="AK163" s="4">
        <v>20505.008430000002</v>
      </c>
      <c r="AL163" t="s">
        <v>67</v>
      </c>
      <c r="AM163" t="s">
        <v>189</v>
      </c>
      <c r="AN163" t="str">
        <f t="shared" si="5"/>
        <v>Good Economic Resilience with Satisfactory Affordability.</v>
      </c>
      <c r="AP163" t="s">
        <v>40</v>
      </c>
    </row>
    <row r="164" spans="1:42" x14ac:dyDescent="0.4">
      <c r="A164" t="str">
        <f t="shared" si="4"/>
        <v>SPAIN|2025</v>
      </c>
      <c r="B164" s="1" t="s">
        <v>191</v>
      </c>
      <c r="C164" s="1">
        <v>2025</v>
      </c>
      <c r="D164" s="4">
        <v>113795678000000</v>
      </c>
      <c r="E164" s="3">
        <v>1.061880995E-2</v>
      </c>
      <c r="F164" s="2">
        <v>8231613070</v>
      </c>
      <c r="G164" s="3">
        <v>8.5323121809999999E-3</v>
      </c>
      <c r="H164" s="4">
        <v>1800000000000</v>
      </c>
      <c r="I164" s="3">
        <v>4.3071916330000001E-2</v>
      </c>
      <c r="J164" s="2">
        <v>49200000</v>
      </c>
      <c r="K164" s="3">
        <v>7.1887070399999997E-3</v>
      </c>
      <c r="L164" s="3">
        <v>1.581782394E-2</v>
      </c>
      <c r="M164" s="4">
        <v>584000000000</v>
      </c>
      <c r="N164" s="4">
        <v>648000000000</v>
      </c>
      <c r="O164" s="4">
        <v>64000000000</v>
      </c>
      <c r="P164" s="3">
        <v>3.555555556E-2</v>
      </c>
      <c r="Q164" s="3">
        <v>1.044</v>
      </c>
      <c r="R164" s="3">
        <v>-1.3699967259999999E-2</v>
      </c>
      <c r="S164" s="4">
        <v>1879200000000</v>
      </c>
      <c r="T164" s="3">
        <v>2.1499999999999998E-2</v>
      </c>
      <c r="U164" s="4">
        <v>40402800000</v>
      </c>
      <c r="V164" s="3">
        <v>2.2446000000000001E-2</v>
      </c>
      <c r="W164" s="3">
        <v>2.7699999999999999E-2</v>
      </c>
      <c r="X164" s="4">
        <v>36585.365850000002</v>
      </c>
      <c r="Y164" s="4">
        <v>35571.951220000003</v>
      </c>
      <c r="Z164" s="6">
        <v>0.91800000000000004</v>
      </c>
      <c r="AA164" s="3">
        <v>-2.1739130429999998E-3</v>
      </c>
      <c r="AB164" s="6">
        <v>0.312</v>
      </c>
      <c r="AC164" s="3">
        <v>-3.5256410260000003E-2</v>
      </c>
      <c r="AD164" s="6">
        <v>0.60599999999999998</v>
      </c>
      <c r="AE164" s="3">
        <v>0.104</v>
      </c>
      <c r="AF164" s="3">
        <v>0.104</v>
      </c>
      <c r="AG164" s="3">
        <v>0.19600000000000001</v>
      </c>
      <c r="AH164" s="3">
        <v>4.6199999999999998E-2</v>
      </c>
      <c r="AI164" s="3">
        <v>0.45019999999999999</v>
      </c>
      <c r="AJ164" s="6">
        <v>0.47912737950000001</v>
      </c>
      <c r="AK164" s="4">
        <v>21556.602439999999</v>
      </c>
      <c r="AL164" t="s">
        <v>67</v>
      </c>
      <c r="AM164" t="s">
        <v>194</v>
      </c>
      <c r="AN164" t="str">
        <f t="shared" si="5"/>
        <v>Good Economic Resilience with Satisfactory Affordability.</v>
      </c>
      <c r="AO164" t="s">
        <v>320</v>
      </c>
      <c r="AP164" t="s">
        <v>40</v>
      </c>
    </row>
    <row r="165" spans="1:42" x14ac:dyDescent="0.4">
      <c r="A165" t="str">
        <f t="shared" si="4"/>
        <v>SPAIN|2026</v>
      </c>
      <c r="B165" s="1" t="s">
        <v>191</v>
      </c>
      <c r="C165" s="1">
        <v>2026</v>
      </c>
      <c r="D165" s="4">
        <v>120063810405112</v>
      </c>
      <c r="E165" s="3">
        <v>5.5082341569999999E-2</v>
      </c>
      <c r="F165" s="2">
        <v>8302201675</v>
      </c>
      <c r="G165" s="3">
        <v>8.575306441E-3</v>
      </c>
      <c r="H165" s="4">
        <v>1866766776434</v>
      </c>
      <c r="I165" s="3">
        <v>3.7092653570000002E-2</v>
      </c>
      <c r="J165" s="2">
        <v>49509524.210000001</v>
      </c>
      <c r="K165" s="3">
        <v>6.2911424540000004E-3</v>
      </c>
      <c r="L165" s="3">
        <v>1.5548122040000001E-2</v>
      </c>
      <c r="M165" s="4">
        <v>634072157143</v>
      </c>
      <c r="N165" s="4">
        <v>706222785714</v>
      </c>
      <c r="O165" s="4">
        <v>72150628571</v>
      </c>
      <c r="P165" s="3">
        <v>3.8650049640000003E-2</v>
      </c>
      <c r="Q165" s="3">
        <v>1.018462508</v>
      </c>
      <c r="R165" s="3">
        <v>-2.4461199539999999E-2</v>
      </c>
      <c r="S165" s="4">
        <v>1901231972387</v>
      </c>
      <c r="T165" s="3">
        <v>4.221428571E-2</v>
      </c>
      <c r="U165" s="4">
        <v>80259149692</v>
      </c>
      <c r="V165" s="3">
        <v>4.2993667290000002E-2</v>
      </c>
      <c r="W165" s="3">
        <v>4.825935286E-2</v>
      </c>
      <c r="X165" s="4">
        <v>37705.20534</v>
      </c>
      <c r="Y165" s="4">
        <v>35885.576529999998</v>
      </c>
      <c r="Z165" s="6">
        <v>0.92581247700000002</v>
      </c>
      <c r="AA165" s="3">
        <v>8.5103235109999995E-3</v>
      </c>
      <c r="AB165" s="6">
        <v>0.30963293980000001</v>
      </c>
      <c r="AC165" s="3">
        <v>-7.644729819E-3</v>
      </c>
      <c r="AD165" s="6">
        <v>0.61617953719999996</v>
      </c>
      <c r="AE165" s="3">
        <v>0.1096275</v>
      </c>
      <c r="AF165" s="3">
        <v>0.1096275</v>
      </c>
      <c r="AG165" s="3">
        <v>0.20162749999999999</v>
      </c>
      <c r="AH165" s="3">
        <v>5.1827499999999999E-2</v>
      </c>
      <c r="AI165" s="3">
        <v>0.47271000000000002</v>
      </c>
      <c r="AJ165" s="6">
        <v>0.4839145044</v>
      </c>
      <c r="AK165" s="4">
        <v>22111.95794</v>
      </c>
      <c r="AL165" t="s">
        <v>67</v>
      </c>
      <c r="AM165" t="s">
        <v>194</v>
      </c>
      <c r="AN165" t="str">
        <f t="shared" si="5"/>
        <v>Good Economic Resilience with Satisfactory Affordability.</v>
      </c>
      <c r="AP165" t="s">
        <v>40</v>
      </c>
    </row>
    <row r="166" spans="1:42" x14ac:dyDescent="0.4">
      <c r="A166" t="str">
        <f t="shared" si="4"/>
        <v>SPAIN|2027</v>
      </c>
      <c r="B166" s="1" t="s">
        <v>191</v>
      </c>
      <c r="C166" s="1">
        <v>2027</v>
      </c>
      <c r="D166" s="4">
        <v>125735541889780</v>
      </c>
      <c r="E166" s="3">
        <v>4.7239309379999997E-2</v>
      </c>
      <c r="F166" s="2">
        <v>8372937901</v>
      </c>
      <c r="G166" s="3">
        <v>8.5201768609999996E-3</v>
      </c>
      <c r="H166" s="4">
        <v>1943781835025</v>
      </c>
      <c r="I166" s="3">
        <v>4.1255854539999998E-2</v>
      </c>
      <c r="J166" s="2">
        <v>49854615.969999999</v>
      </c>
      <c r="K166" s="3">
        <v>6.9702095129999999E-3</v>
      </c>
      <c r="L166" s="3">
        <v>1.5459287049999999E-2</v>
      </c>
      <c r="M166" s="4">
        <v>665404092857</v>
      </c>
      <c r="N166" s="4">
        <v>745358364286</v>
      </c>
      <c r="O166" s="4">
        <v>79954271429</v>
      </c>
      <c r="P166" s="3">
        <v>4.1133356629999999E-2</v>
      </c>
      <c r="Q166" s="3">
        <v>0.98974544809999998</v>
      </c>
      <c r="R166" s="3">
        <v>-2.8196481799999999E-2</v>
      </c>
      <c r="S166" s="4">
        <v>1923849223349</v>
      </c>
      <c r="T166" s="3">
        <v>4.8375000000000001E-2</v>
      </c>
      <c r="U166" s="4">
        <v>93066206179</v>
      </c>
      <c r="V166" s="3">
        <v>4.7878936050000001E-2</v>
      </c>
      <c r="W166" s="3">
        <v>5.2846685359999999E-2</v>
      </c>
      <c r="X166" s="4">
        <v>38989.004280000001</v>
      </c>
      <c r="Y166" s="4">
        <v>36928.564630000001</v>
      </c>
      <c r="Z166" s="6">
        <v>0.93159002089999998</v>
      </c>
      <c r="AA166" s="3">
        <v>6.2405120289999996E-3</v>
      </c>
      <c r="AB166" s="6">
        <v>0.30531345040000002</v>
      </c>
      <c r="AC166" s="3">
        <v>-1.4147720839999999E-2</v>
      </c>
      <c r="AD166" s="6">
        <v>0.62627657049999996</v>
      </c>
      <c r="AE166" s="3">
        <v>0.115536375</v>
      </c>
      <c r="AF166" s="3">
        <v>0.115536375</v>
      </c>
      <c r="AG166" s="3">
        <v>0.207536375</v>
      </c>
      <c r="AH166" s="3">
        <v>5.7736375E-2</v>
      </c>
      <c r="AI166" s="3">
        <v>0.4963455</v>
      </c>
      <c r="AJ166" s="6">
        <v>0.5050592076</v>
      </c>
      <c r="AK166" s="4">
        <v>23127.49481</v>
      </c>
      <c r="AL166" t="s">
        <v>67</v>
      </c>
      <c r="AM166" t="s">
        <v>195</v>
      </c>
      <c r="AN166" t="str">
        <f t="shared" si="5"/>
        <v>Good Economic Resilience with Satisfactory Affordability.</v>
      </c>
      <c r="AP166" t="s">
        <v>40</v>
      </c>
    </row>
    <row r="167" spans="1:42" x14ac:dyDescent="0.4">
      <c r="A167" t="str">
        <f t="shared" si="4"/>
        <v>SPAIN|2028</v>
      </c>
      <c r="B167" s="1" t="s">
        <v>191</v>
      </c>
      <c r="C167" s="1">
        <v>2028</v>
      </c>
      <c r="D167" s="4">
        <v>131237442252096</v>
      </c>
      <c r="E167" s="3">
        <v>4.375771782E-2</v>
      </c>
      <c r="F167" s="2">
        <v>8443822776</v>
      </c>
      <c r="G167" s="3">
        <v>8.465950178E-3</v>
      </c>
      <c r="H167" s="4">
        <v>2024963970213</v>
      </c>
      <c r="I167" s="3">
        <v>4.1765044680000002E-2</v>
      </c>
      <c r="J167" s="2">
        <v>50212285.090000004</v>
      </c>
      <c r="K167" s="3">
        <v>7.1742429050000002E-3</v>
      </c>
      <c r="L167" s="3">
        <v>1.5429773210000001E-2</v>
      </c>
      <c r="M167" s="4">
        <v>696736028571</v>
      </c>
      <c r="N167" s="4">
        <v>784493942857</v>
      </c>
      <c r="O167" s="4">
        <v>87757914286</v>
      </c>
      <c r="P167" s="3">
        <v>4.3338012709999998E-2</v>
      </c>
      <c r="Q167" s="3">
        <v>0.96002060509999998</v>
      </c>
      <c r="R167" s="3">
        <v>-3.0032816090000001E-2</v>
      </c>
      <c r="S167" s="4">
        <v>1944007135989</v>
      </c>
      <c r="T167" s="3">
        <v>5.4535714290000002E-2</v>
      </c>
      <c r="U167" s="4">
        <v>106017817738</v>
      </c>
      <c r="V167" s="3">
        <v>5.2355409429999999E-2</v>
      </c>
      <c r="W167" s="3">
        <v>5.7434017859999999E-2</v>
      </c>
      <c r="X167" s="4">
        <v>40328.058490000003</v>
      </c>
      <c r="Y167" s="4">
        <v>38011.856059999998</v>
      </c>
      <c r="Z167" s="6">
        <v>0.93667663479999996</v>
      </c>
      <c r="AA167" s="3">
        <v>5.4601420729999996E-3</v>
      </c>
      <c r="AB167" s="6">
        <v>0.30034661000000001</v>
      </c>
      <c r="AC167" s="3">
        <v>-1.6537028200000001E-2</v>
      </c>
      <c r="AD167" s="6">
        <v>0.6363300247</v>
      </c>
      <c r="AE167" s="3">
        <v>0.12174069379999999</v>
      </c>
      <c r="AF167" s="3">
        <v>0.12174069379999999</v>
      </c>
      <c r="AG167" s="3">
        <v>0.21374069379999999</v>
      </c>
      <c r="AH167" s="3">
        <v>6.3940693749999999E-2</v>
      </c>
      <c r="AI167" s="3">
        <v>0.52116277499999997</v>
      </c>
      <c r="AJ167" s="6">
        <v>0.52757515150000001</v>
      </c>
      <c r="AK167" s="4">
        <v>24188.085309999999</v>
      </c>
      <c r="AL167" t="s">
        <v>67</v>
      </c>
      <c r="AM167" t="s">
        <v>196</v>
      </c>
      <c r="AN167" t="str">
        <f t="shared" si="5"/>
        <v>Excellent Economic Resilience with Satisfactory Affordability.</v>
      </c>
      <c r="AP167" t="s">
        <v>40</v>
      </c>
    </row>
    <row r="168" spans="1:42" x14ac:dyDescent="0.4">
      <c r="A168" t="str">
        <f t="shared" si="4"/>
        <v>SPAIN|2029</v>
      </c>
      <c r="B168" s="1" t="s">
        <v>191</v>
      </c>
      <c r="C168" s="1">
        <v>2029</v>
      </c>
      <c r="D168" s="4">
        <v>136712479650225</v>
      </c>
      <c r="E168" s="3">
        <v>4.1718562200000003E-2</v>
      </c>
      <c r="F168" s="2">
        <v>8514849364</v>
      </c>
      <c r="G168" s="3">
        <v>8.4116624760000001E-3</v>
      </c>
      <c r="H168" s="4">
        <v>2108194666149</v>
      </c>
      <c r="I168" s="3">
        <v>4.110230955E-2</v>
      </c>
      <c r="J168" s="2">
        <v>50574825.649999999</v>
      </c>
      <c r="K168" s="3">
        <v>7.2201565350000002E-3</v>
      </c>
      <c r="L168" s="3">
        <v>1.542064537E-2</v>
      </c>
      <c r="M168" s="4">
        <v>728067964286</v>
      </c>
      <c r="N168" s="4">
        <v>831075259921</v>
      </c>
      <c r="O168" s="4">
        <v>103007295635</v>
      </c>
      <c r="P168" s="3">
        <v>4.8860428919999997E-2</v>
      </c>
      <c r="Q168" s="3">
        <v>0.93001356759999998</v>
      </c>
      <c r="R168" s="3">
        <v>-3.1256659829999998E-2</v>
      </c>
      <c r="S168" s="4">
        <v>1960649642700</v>
      </c>
      <c r="T168" s="3">
        <v>6.0696428570000002E-2</v>
      </c>
      <c r="U168" s="4">
        <v>119004430992</v>
      </c>
      <c r="V168" s="3">
        <v>5.6448502079999997E-2</v>
      </c>
      <c r="W168" s="3">
        <v>6.2021350359999998E-2</v>
      </c>
      <c r="X168" s="4">
        <v>41684.665029999996</v>
      </c>
      <c r="Y168" s="4">
        <v>39099.325819999998</v>
      </c>
      <c r="Z168" s="6">
        <v>0.94152031260000002</v>
      </c>
      <c r="AA168" s="3">
        <v>5.171131283E-3</v>
      </c>
      <c r="AB168" s="6">
        <v>0.29516225109999999</v>
      </c>
      <c r="AC168" s="3">
        <v>-1.7564437580000002E-2</v>
      </c>
      <c r="AD168" s="6">
        <v>0.64635806149999997</v>
      </c>
      <c r="AE168" s="3">
        <v>0.1282552284</v>
      </c>
      <c r="AF168" s="3">
        <v>0.1282552284</v>
      </c>
      <c r="AG168" s="3">
        <v>0.2202552284</v>
      </c>
      <c r="AH168" s="3">
        <v>7.0455228440000003E-2</v>
      </c>
      <c r="AI168" s="3">
        <v>0.54722091380000004</v>
      </c>
      <c r="AJ168" s="6">
        <v>0.55505348600000004</v>
      </c>
      <c r="AK168" s="4">
        <v>25272.16444</v>
      </c>
      <c r="AL168" t="s">
        <v>70</v>
      </c>
      <c r="AM168" t="s">
        <v>197</v>
      </c>
      <c r="AN168" t="str">
        <f t="shared" si="5"/>
        <v>Excellent Economic Resilience with Good Affordability.</v>
      </c>
      <c r="AP168" t="s">
        <v>40</v>
      </c>
    </row>
    <row r="169" spans="1:42" x14ac:dyDescent="0.4">
      <c r="A169" t="str">
        <f t="shared" si="4"/>
        <v>SPAIN|2030</v>
      </c>
      <c r="B169" s="1" t="s">
        <v>191</v>
      </c>
      <c r="C169" s="1">
        <v>2030</v>
      </c>
      <c r="D169" s="4">
        <v>141834754671550</v>
      </c>
      <c r="E169" s="3"/>
      <c r="F169" s="2">
        <v>8586617399</v>
      </c>
      <c r="G169" s="3"/>
      <c r="H169" s="4">
        <v>2205628416131</v>
      </c>
      <c r="I169" s="3"/>
      <c r="J169" s="2">
        <v>51011554.770000003</v>
      </c>
      <c r="K169" s="3"/>
      <c r="L169" s="3">
        <v>1.555069081E-2</v>
      </c>
      <c r="M169" s="4">
        <v>759399900000</v>
      </c>
      <c r="N169" s="4">
        <v>873785617504</v>
      </c>
      <c r="O169" s="4">
        <v>114385717504</v>
      </c>
      <c r="P169" s="3">
        <v>5.1860828720000002E-2</v>
      </c>
      <c r="Q169" s="3">
        <v>0.89997818110000005</v>
      </c>
      <c r="R169" s="3"/>
      <c r="S169" s="4">
        <v>1985017450169</v>
      </c>
      <c r="T169" s="3">
        <v>6.6857142859999996E-2</v>
      </c>
      <c r="U169" s="4">
        <v>132712595240</v>
      </c>
      <c r="V169" s="3">
        <v>6.0169969820000002E-2</v>
      </c>
      <c r="W169" s="3">
        <v>6.6608682860000004E-2</v>
      </c>
      <c r="X169" s="4">
        <v>43237.819869999999</v>
      </c>
      <c r="Y169" s="4">
        <v>40357.805630000003</v>
      </c>
      <c r="Z169" s="6">
        <v>0.94627754980000001</v>
      </c>
      <c r="AA169" s="3"/>
      <c r="AB169" s="6">
        <v>0.28990872220000002</v>
      </c>
      <c r="AC169" s="3"/>
      <c r="AD169" s="6">
        <v>0.65636882750000003</v>
      </c>
      <c r="AE169" s="3">
        <v>0.1350954899</v>
      </c>
      <c r="AF169" s="3">
        <v>0.1350954899</v>
      </c>
      <c r="AG169" s="3">
        <v>0.2270954899</v>
      </c>
      <c r="AH169" s="3">
        <v>7.7295489859999997E-2</v>
      </c>
      <c r="AI169" s="3">
        <v>0.57458195940000001</v>
      </c>
      <c r="AJ169" s="6">
        <v>0.58182350910000002</v>
      </c>
      <c r="AK169" s="4">
        <v>26489.60557</v>
      </c>
      <c r="AL169" t="s">
        <v>70</v>
      </c>
      <c r="AM169" t="s">
        <v>198</v>
      </c>
      <c r="AN169" t="str">
        <f t="shared" si="5"/>
        <v>Excellent Economic Resilience with Good Affordability.</v>
      </c>
      <c r="AP169" t="s">
        <v>40</v>
      </c>
    </row>
    <row r="170" spans="1:42" x14ac:dyDescent="0.4">
      <c r="A170" t="str">
        <f t="shared" si="4"/>
        <v>ITALY|2019</v>
      </c>
      <c r="B170" s="1" t="s">
        <v>200</v>
      </c>
      <c r="C170" s="1">
        <v>2019</v>
      </c>
      <c r="D170" s="4">
        <v>87700000000000</v>
      </c>
      <c r="E170" s="3"/>
      <c r="F170" s="2">
        <v>7810000000</v>
      </c>
      <c r="G170" s="3"/>
      <c r="H170" s="4">
        <v>2019607000000</v>
      </c>
      <c r="I170" s="3"/>
      <c r="J170" s="2">
        <v>59729081</v>
      </c>
      <c r="K170" s="3"/>
      <c r="L170" s="3">
        <v>2.3028586090000001E-2</v>
      </c>
      <c r="M170" s="4">
        <v>560326100000</v>
      </c>
      <c r="N170" s="4">
        <v>625065800000</v>
      </c>
      <c r="O170" s="4">
        <v>64739700000</v>
      </c>
      <c r="P170" s="3">
        <v>3.2055592989999999E-2</v>
      </c>
      <c r="Q170" s="3">
        <v>1.3420000000000001</v>
      </c>
      <c r="R170" s="3"/>
      <c r="S170" s="4">
        <v>2710312594000</v>
      </c>
      <c r="T170" s="5">
        <v>1.5393759999999999E-2</v>
      </c>
      <c r="U170" s="4">
        <v>41721901597</v>
      </c>
      <c r="V170" s="3">
        <v>2.0658425920000001E-2</v>
      </c>
      <c r="W170" s="3">
        <v>6.1124700000000001E-3</v>
      </c>
      <c r="X170" s="4">
        <v>33812.792130000002</v>
      </c>
      <c r="Y170" s="4">
        <v>33606.112450000001</v>
      </c>
      <c r="Z170" s="6">
        <v>0.88</v>
      </c>
      <c r="AA170" s="3"/>
      <c r="AB170" s="7">
        <v>0.34599999999999997</v>
      </c>
      <c r="AC170" s="3"/>
      <c r="AD170" s="6">
        <v>0.53400000000000003</v>
      </c>
      <c r="AE170" s="3">
        <v>0.15423768639999999</v>
      </c>
      <c r="AF170" s="3">
        <v>5.3237686360000001E-2</v>
      </c>
      <c r="AG170" s="3">
        <v>6.4237686360000004E-2</v>
      </c>
      <c r="AH170" s="3">
        <v>1.423768636E-2</v>
      </c>
      <c r="AI170" s="3">
        <v>0.28595074549999999</v>
      </c>
      <c r="AJ170" s="6">
        <v>0.3203764986</v>
      </c>
      <c r="AK170" s="4">
        <v>17945.664049999999</v>
      </c>
      <c r="AL170" t="s">
        <v>85</v>
      </c>
      <c r="AM170" t="s">
        <v>199</v>
      </c>
      <c r="AN170" t="str">
        <f t="shared" si="5"/>
        <v>Satisfactory Economic Resilience with Moderate Affordability.</v>
      </c>
      <c r="AP170" t="s">
        <v>40</v>
      </c>
    </row>
    <row r="171" spans="1:42" x14ac:dyDescent="0.4">
      <c r="A171" t="str">
        <f t="shared" si="4"/>
        <v>ITALY|2020</v>
      </c>
      <c r="B171" s="1" t="s">
        <v>200</v>
      </c>
      <c r="C171" s="1">
        <v>2020</v>
      </c>
      <c r="D171" s="4">
        <v>84750000000000</v>
      </c>
      <c r="E171" s="3">
        <v>-3.3637400230000003E-2</v>
      </c>
      <c r="F171" s="2">
        <v>7890000000</v>
      </c>
      <c r="G171" s="3">
        <v>1.0243277849999999E-2</v>
      </c>
      <c r="H171" s="4">
        <v>1907481000000</v>
      </c>
      <c r="I171" s="3">
        <v>-5.5518722210000003E-2</v>
      </c>
      <c r="J171" s="2">
        <v>59438851</v>
      </c>
      <c r="K171" s="3">
        <v>-4.8591070740000002E-3</v>
      </c>
      <c r="L171" s="3">
        <v>2.2507150439999998E-2</v>
      </c>
      <c r="M171" s="4">
        <v>480945200000</v>
      </c>
      <c r="N171" s="4">
        <v>547940300000</v>
      </c>
      <c r="O171" s="4">
        <v>66995100000</v>
      </c>
      <c r="P171" s="3">
        <v>3.5122289549999998E-2</v>
      </c>
      <c r="Q171" s="3">
        <v>1.5489999999999999</v>
      </c>
      <c r="R171" s="3">
        <v>0.15424739200000001</v>
      </c>
      <c r="S171" s="4">
        <v>2954688069000</v>
      </c>
      <c r="T171" s="3">
        <v>7.39268999999999E-3</v>
      </c>
      <c r="U171" s="4">
        <v>21843092941</v>
      </c>
      <c r="V171" s="3">
        <v>1.1451276809999999E-2</v>
      </c>
      <c r="W171" s="3">
        <v>-1.3770799999999999E-3</v>
      </c>
      <c r="X171" s="4">
        <v>32091.485079999999</v>
      </c>
      <c r="Y171" s="4">
        <v>32135.677619999999</v>
      </c>
      <c r="Z171" s="6">
        <v>0.89</v>
      </c>
      <c r="AA171" s="3">
        <v>1.136363636E-2</v>
      </c>
      <c r="AB171" s="7">
        <v>0.35199999999999998</v>
      </c>
      <c r="AC171" s="3">
        <v>1.7045454549999998E-2</v>
      </c>
      <c r="AD171" s="6">
        <v>0.53800000000000003</v>
      </c>
      <c r="AE171" s="3">
        <v>0.1580001962</v>
      </c>
      <c r="AF171" s="3">
        <v>5.7000196170000003E-2</v>
      </c>
      <c r="AG171" s="3">
        <v>6.8000196169999999E-2</v>
      </c>
      <c r="AH171" s="3">
        <v>1.800019617E-2</v>
      </c>
      <c r="AI171" s="3">
        <v>0.30100078470000002</v>
      </c>
      <c r="AJ171" s="6">
        <v>0.34717894789999998</v>
      </c>
      <c r="AK171" s="4">
        <v>17288.994559999999</v>
      </c>
      <c r="AL171" t="s">
        <v>85</v>
      </c>
      <c r="AM171" t="s">
        <v>201</v>
      </c>
      <c r="AN171" t="str">
        <f t="shared" si="5"/>
        <v>Satisfactory Economic Resilience with Moderate Affordability.</v>
      </c>
      <c r="AP171" t="s">
        <v>40</v>
      </c>
    </row>
    <row r="172" spans="1:42" x14ac:dyDescent="0.4">
      <c r="A172" t="str">
        <f t="shared" si="4"/>
        <v>ITALY|2021</v>
      </c>
      <c r="B172" s="1" t="s">
        <v>200</v>
      </c>
      <c r="C172" s="1">
        <v>2021</v>
      </c>
      <c r="D172" s="4">
        <v>96140000000000</v>
      </c>
      <c r="E172" s="3">
        <v>0.13439528019999999</v>
      </c>
      <c r="F172" s="2">
        <v>7950000000</v>
      </c>
      <c r="G172" s="3">
        <v>7.6045627380000001E-3</v>
      </c>
      <c r="H172" s="4">
        <v>2179208000000</v>
      </c>
      <c r="I172" s="3">
        <v>0.14245331929999999</v>
      </c>
      <c r="J172" s="2">
        <v>59133173</v>
      </c>
      <c r="K172" s="3">
        <v>-5.1427306359999999E-3</v>
      </c>
      <c r="L172" s="3">
        <v>2.2667027249999999E-2</v>
      </c>
      <c r="M172" s="4">
        <v>634811300000</v>
      </c>
      <c r="N172" s="4">
        <v>679294100000</v>
      </c>
      <c r="O172" s="4">
        <v>44482800000</v>
      </c>
      <c r="P172" s="3">
        <v>2.0412369999999999E-2</v>
      </c>
      <c r="Q172" s="3">
        <v>1.4570000000000001</v>
      </c>
      <c r="R172" s="3">
        <v>-5.9393156879999999E-2</v>
      </c>
      <c r="S172" s="4">
        <v>3175106056000</v>
      </c>
      <c r="T172" s="3">
        <v>7.3318599999999999E-3</v>
      </c>
      <c r="U172" s="4">
        <v>23279433088</v>
      </c>
      <c r="V172" s="3">
        <v>1.0682520020000001E-2</v>
      </c>
      <c r="W172" s="3">
        <v>1.873783E-2</v>
      </c>
      <c r="X172" s="4">
        <v>36852.546369999996</v>
      </c>
      <c r="Y172" s="4">
        <v>36162.009619999997</v>
      </c>
      <c r="Z172" s="6">
        <v>0.9</v>
      </c>
      <c r="AA172" s="3">
        <v>1.123595506E-2</v>
      </c>
      <c r="AB172" s="6">
        <v>0.34799999999999998</v>
      </c>
      <c r="AC172" s="3">
        <v>-1.1494252870000001E-2</v>
      </c>
      <c r="AD172" s="6">
        <v>0.55200000000000005</v>
      </c>
      <c r="AE172" s="3">
        <v>0.16196073280000001</v>
      </c>
      <c r="AF172" s="3">
        <v>6.0960732810000001E-2</v>
      </c>
      <c r="AG172" s="3">
        <v>7.1960732809999997E-2</v>
      </c>
      <c r="AH172" s="3">
        <v>2.1960732810000001E-2</v>
      </c>
      <c r="AI172" s="3">
        <v>0.31684293130000002</v>
      </c>
      <c r="AJ172" s="6">
        <v>0.34923980850000003</v>
      </c>
      <c r="AK172" s="4">
        <v>19961.42931</v>
      </c>
      <c r="AL172" t="s">
        <v>85</v>
      </c>
      <c r="AM172" t="s">
        <v>201</v>
      </c>
      <c r="AN172" t="str">
        <f t="shared" si="5"/>
        <v>Satisfactory Economic Resilience with Moderate Affordability.</v>
      </c>
      <c r="AP172" t="s">
        <v>40</v>
      </c>
    </row>
    <row r="173" spans="1:42" x14ac:dyDescent="0.4">
      <c r="A173" t="str">
        <f t="shared" si="4"/>
        <v>ITALY|2022</v>
      </c>
      <c r="B173" s="1" t="s">
        <v>200</v>
      </c>
      <c r="C173" s="1">
        <v>2022</v>
      </c>
      <c r="D173" s="4">
        <v>101560000000000</v>
      </c>
      <c r="E173" s="3">
        <v>5.6376118160000002E-2</v>
      </c>
      <c r="F173" s="2">
        <v>8020000000</v>
      </c>
      <c r="G173" s="3">
        <v>8.8050314469999991E-3</v>
      </c>
      <c r="H173" s="4">
        <v>2104068000000</v>
      </c>
      <c r="I173" s="3">
        <v>-3.4480416739999999E-2</v>
      </c>
      <c r="J173" s="2">
        <v>59013667</v>
      </c>
      <c r="K173" s="3">
        <v>-2.0209637660000002E-3</v>
      </c>
      <c r="L173" s="3">
        <v>2.0717487199999999E-2</v>
      </c>
      <c r="M173" s="4">
        <v>776766300000</v>
      </c>
      <c r="N173" s="4">
        <v>738509600000</v>
      </c>
      <c r="O173" s="4">
        <v>-38256700000</v>
      </c>
      <c r="P173" s="3">
        <v>-1.818225457E-2</v>
      </c>
      <c r="Q173" s="3">
        <v>1.389</v>
      </c>
      <c r="R173" s="3">
        <v>-4.6671242279999997E-2</v>
      </c>
      <c r="S173" s="4">
        <v>2922550452000</v>
      </c>
      <c r="T173" s="3">
        <v>-1.151129E-2</v>
      </c>
      <c r="U173" s="4">
        <v>-33642325793</v>
      </c>
      <c r="V173" s="3">
        <v>-1.5989181809999999E-2</v>
      </c>
      <c r="W173" s="3">
        <v>8.20129E-2</v>
      </c>
      <c r="X173" s="4">
        <v>35653.910470000003</v>
      </c>
      <c r="Y173" s="4">
        <v>32729.829880000001</v>
      </c>
      <c r="Z173" s="6">
        <v>0.91</v>
      </c>
      <c r="AA173" s="3">
        <v>1.111111111E-2</v>
      </c>
      <c r="AB173" s="6">
        <v>0.33700000000000002</v>
      </c>
      <c r="AC173" s="3">
        <v>-3.2640949549999999E-2</v>
      </c>
      <c r="AD173" s="6">
        <v>0.57299999999999995</v>
      </c>
      <c r="AE173" s="3">
        <v>0.16612971879999999</v>
      </c>
      <c r="AF173" s="3">
        <v>6.5129718749999996E-2</v>
      </c>
      <c r="AG173" s="3">
        <v>7.6129718750000006E-2</v>
      </c>
      <c r="AH173" s="3">
        <v>2.6129718749999999E-2</v>
      </c>
      <c r="AI173" s="3">
        <v>0.33351887499999999</v>
      </c>
      <c r="AJ173" s="6">
        <v>0.35204328940000001</v>
      </c>
      <c r="AK173" s="4">
        <v>18754.192520000001</v>
      </c>
      <c r="AL173" t="s">
        <v>85</v>
      </c>
      <c r="AM173" t="s">
        <v>201</v>
      </c>
      <c r="AN173" t="str">
        <f t="shared" si="5"/>
        <v>Satisfactory Economic Resilience with Moderate Affordability.</v>
      </c>
      <c r="AP173" t="s">
        <v>40</v>
      </c>
    </row>
    <row r="174" spans="1:42" x14ac:dyDescent="0.4">
      <c r="A174" t="str">
        <f t="shared" si="4"/>
        <v>ITALY|2023</v>
      </c>
      <c r="B174" s="1" t="s">
        <v>200</v>
      </c>
      <c r="C174" s="1">
        <v>2023</v>
      </c>
      <c r="D174" s="4">
        <v>106800000000000</v>
      </c>
      <c r="E174" s="3">
        <v>5.1595116189999998E-2</v>
      </c>
      <c r="F174" s="2">
        <v>8090000000</v>
      </c>
      <c r="G174" s="3">
        <v>8.7281795509999999E-3</v>
      </c>
      <c r="H174" s="4">
        <v>2316728000000</v>
      </c>
      <c r="I174" s="3">
        <v>0.10107087789999999</v>
      </c>
      <c r="J174" s="2">
        <v>58984216</v>
      </c>
      <c r="K174" s="3">
        <v>-4.9905388870000005E-4</v>
      </c>
      <c r="L174" s="3">
        <v>2.1692209739999999E-2</v>
      </c>
      <c r="M174" s="4">
        <v>736154000000</v>
      </c>
      <c r="N174" s="4">
        <v>772202300000</v>
      </c>
      <c r="O174" s="4">
        <v>36048300000</v>
      </c>
      <c r="P174" s="3">
        <v>1.556000532E-2</v>
      </c>
      <c r="Q174" s="3">
        <v>1.3460000000000001</v>
      </c>
      <c r="R174" s="3">
        <v>-3.0957523399999999E-2</v>
      </c>
      <c r="S174" s="4">
        <v>3118315888000</v>
      </c>
      <c r="T174" s="3">
        <v>-1.2286409999999999E-2</v>
      </c>
      <c r="U174" s="4">
        <v>-38312907509</v>
      </c>
      <c r="V174" s="3">
        <v>-1.6537507860000002E-2</v>
      </c>
      <c r="W174" s="5">
        <v>5.6221939999999998E-2</v>
      </c>
      <c r="X174" s="4">
        <v>39277.083890000002</v>
      </c>
      <c r="Y174" s="4">
        <v>37068.850039999998</v>
      </c>
      <c r="Z174" s="6">
        <v>0.92</v>
      </c>
      <c r="AA174" s="3">
        <v>1.0989010990000001E-2</v>
      </c>
      <c r="AB174" s="7">
        <v>0.34299999999999897</v>
      </c>
      <c r="AC174" s="3">
        <v>1.749271137E-2</v>
      </c>
      <c r="AD174" s="6">
        <v>0.57699999999999996</v>
      </c>
      <c r="AE174" s="3">
        <v>0.17051812499999999</v>
      </c>
      <c r="AF174" s="3">
        <v>6.9518125E-2</v>
      </c>
      <c r="AG174" s="3">
        <v>8.0518124999999996E-2</v>
      </c>
      <c r="AH174" s="3">
        <v>3.0518125E-2</v>
      </c>
      <c r="AI174" s="3">
        <v>0.35107250000000001</v>
      </c>
      <c r="AJ174" s="6">
        <v>0.40486222290000001</v>
      </c>
      <c r="AK174" s="4">
        <v>21388.726470000001</v>
      </c>
      <c r="AL174" t="s">
        <v>67</v>
      </c>
      <c r="AM174" t="s">
        <v>202</v>
      </c>
      <c r="AN174" t="str">
        <f t="shared" si="5"/>
        <v>Satisfactory Economic Resilience with Satisfactory Affordability.</v>
      </c>
      <c r="AP174" t="s">
        <v>40</v>
      </c>
    </row>
    <row r="175" spans="1:42" x14ac:dyDescent="0.4">
      <c r="A175" t="str">
        <f t="shared" si="4"/>
        <v>ITALY|2024</v>
      </c>
      <c r="B175" s="1" t="s">
        <v>200</v>
      </c>
      <c r="C175" s="1">
        <v>2024</v>
      </c>
      <c r="D175" s="4">
        <v>112600000000000</v>
      </c>
      <c r="E175" s="3">
        <v>5.4307116099999997E-2</v>
      </c>
      <c r="F175" s="2">
        <v>8161972572</v>
      </c>
      <c r="G175" s="3">
        <v>8.8964860320000002E-3</v>
      </c>
      <c r="H175" s="4">
        <v>2380825000000</v>
      </c>
      <c r="I175" s="3">
        <v>2.7667037299999999E-2</v>
      </c>
      <c r="J175" s="2">
        <v>58952704</v>
      </c>
      <c r="K175" s="3">
        <v>-5.3424461889999995E-4</v>
      </c>
      <c r="L175" s="3">
        <v>2.114409414E-2</v>
      </c>
      <c r="M175" s="4">
        <v>721835900000</v>
      </c>
      <c r="N175" s="4">
        <v>773888200000</v>
      </c>
      <c r="O175" s="4">
        <v>52052300000</v>
      </c>
      <c r="P175" s="3">
        <v>2.186313568E-2</v>
      </c>
      <c r="Q175" s="3">
        <v>1.353</v>
      </c>
      <c r="R175" s="3">
        <v>5.2005943539999997E-3</v>
      </c>
      <c r="S175" s="4">
        <v>3221256225000</v>
      </c>
      <c r="T175" s="3">
        <v>3.2342929999999999E-2</v>
      </c>
      <c r="U175" s="4">
        <v>104184864597</v>
      </c>
      <c r="V175" s="3">
        <v>4.3759984289999998E-2</v>
      </c>
      <c r="W175" s="3">
        <v>9.8237299999999993E-3</v>
      </c>
      <c r="X175" s="4">
        <v>40385.340089999998</v>
      </c>
      <c r="Y175" s="4">
        <v>39988.605409999996</v>
      </c>
      <c r="Z175" s="6">
        <v>0.92</v>
      </c>
      <c r="AA175" s="3">
        <v>0</v>
      </c>
      <c r="AB175" s="6">
        <v>0.33400000000000002</v>
      </c>
      <c r="AC175" s="3">
        <v>-2.6946107779999999E-2</v>
      </c>
      <c r="AD175" s="6">
        <v>0.58599999999999997</v>
      </c>
      <c r="AE175" s="3">
        <v>0.1751375</v>
      </c>
      <c r="AF175" s="3">
        <v>7.4137499999999995E-2</v>
      </c>
      <c r="AG175" s="3">
        <v>8.5137500000000005E-2</v>
      </c>
      <c r="AH175" s="3">
        <v>3.5137500000000002E-2</v>
      </c>
      <c r="AI175" s="3">
        <v>0.36954999999999999</v>
      </c>
      <c r="AJ175" s="6">
        <v>0.36879724549999998</v>
      </c>
      <c r="AK175" s="4">
        <v>23433.322769999999</v>
      </c>
      <c r="AL175" t="s">
        <v>67</v>
      </c>
      <c r="AM175" t="s">
        <v>186</v>
      </c>
      <c r="AN175" t="str">
        <f t="shared" si="5"/>
        <v>Satisfactory Economic Resilience with Satisfactory Affordability.</v>
      </c>
      <c r="AP175" t="s">
        <v>40</v>
      </c>
    </row>
    <row r="176" spans="1:42" x14ac:dyDescent="0.4">
      <c r="A176" t="str">
        <f t="shared" si="4"/>
        <v>ITALY|2025</v>
      </c>
      <c r="B176" s="1" t="s">
        <v>200</v>
      </c>
      <c r="C176" s="1">
        <v>2025</v>
      </c>
      <c r="D176" s="4">
        <v>113795678000000</v>
      </c>
      <c r="E176" s="3">
        <v>1.061880995E-2</v>
      </c>
      <c r="F176" s="2">
        <v>8231613070</v>
      </c>
      <c r="G176" s="3">
        <v>8.5323121809999999E-3</v>
      </c>
      <c r="H176" s="4">
        <v>2423000000000</v>
      </c>
      <c r="I176" s="3">
        <v>1.7714447719999998E-2</v>
      </c>
      <c r="J176" s="2">
        <v>58900000</v>
      </c>
      <c r="K176" s="3">
        <v>-8.9400479409999995E-4</v>
      </c>
      <c r="L176" s="3">
        <v>2.1292548559999999E-2</v>
      </c>
      <c r="M176" s="4">
        <v>779500000000</v>
      </c>
      <c r="N176" s="4">
        <v>966100000000</v>
      </c>
      <c r="O176" s="4">
        <v>186600000000</v>
      </c>
      <c r="P176" s="3">
        <v>7.7011968629999997E-2</v>
      </c>
      <c r="Q176" s="3">
        <v>1.353</v>
      </c>
      <c r="R176" s="3">
        <v>0</v>
      </c>
      <c r="S176" s="4">
        <v>3278319000000</v>
      </c>
      <c r="T176" s="3">
        <v>2.9000000000000001E-2</v>
      </c>
      <c r="U176" s="4">
        <v>95071251000</v>
      </c>
      <c r="V176" s="3">
        <v>3.9237000000000001E-2</v>
      </c>
      <c r="W176" s="3">
        <v>4.4999999999999998E-2</v>
      </c>
      <c r="X176" s="4">
        <v>41137.521220000002</v>
      </c>
      <c r="Y176" s="4">
        <v>39286.332770000001</v>
      </c>
      <c r="Z176" s="6">
        <v>0.91500000000000004</v>
      </c>
      <c r="AA176" s="3">
        <v>-5.4347826089999997E-3</v>
      </c>
      <c r="AB176" s="6">
        <v>0.32500000000000001</v>
      </c>
      <c r="AC176" s="3">
        <v>-2.7692307690000001E-2</v>
      </c>
      <c r="AD176" s="6">
        <v>0.59</v>
      </c>
      <c r="AE176" s="3">
        <v>0.18</v>
      </c>
      <c r="AF176" s="3">
        <v>7.9000000000000001E-2</v>
      </c>
      <c r="AG176" s="3">
        <v>0.09</v>
      </c>
      <c r="AH176" s="3">
        <v>0.04</v>
      </c>
      <c r="AI176" s="3">
        <v>0.38900000000000001</v>
      </c>
      <c r="AJ176" s="6">
        <v>0.44806751719999999</v>
      </c>
      <c r="AK176" s="4">
        <v>23178.93633</v>
      </c>
      <c r="AL176" t="s">
        <v>67</v>
      </c>
      <c r="AM176" t="s">
        <v>189</v>
      </c>
      <c r="AN176" t="str">
        <f t="shared" si="5"/>
        <v>Good Economic Resilience with Satisfactory Affordability.</v>
      </c>
      <c r="AO176" t="s">
        <v>321</v>
      </c>
      <c r="AP176" t="s">
        <v>40</v>
      </c>
    </row>
    <row r="177" spans="1:42" x14ac:dyDescent="0.4">
      <c r="A177" t="str">
        <f t="shared" si="4"/>
        <v>ITALY|2026</v>
      </c>
      <c r="B177" s="1" t="s">
        <v>200</v>
      </c>
      <c r="C177" s="1">
        <v>2026</v>
      </c>
      <c r="D177" s="4">
        <v>120063810405112</v>
      </c>
      <c r="E177" s="3">
        <v>5.5082341569999999E-2</v>
      </c>
      <c r="F177" s="2">
        <v>8302201675</v>
      </c>
      <c r="G177" s="3">
        <v>8.575306441E-3</v>
      </c>
      <c r="H177" s="4">
        <v>2510612831925</v>
      </c>
      <c r="I177" s="3">
        <v>3.6158824569999998E-2</v>
      </c>
      <c r="J177" s="2">
        <v>58706042.380000003</v>
      </c>
      <c r="K177" s="3">
        <v>-3.292998666E-3</v>
      </c>
      <c r="L177" s="3">
        <v>2.091065429E-2</v>
      </c>
      <c r="M177" s="4">
        <v>847283514286</v>
      </c>
      <c r="N177" s="4">
        <v>952986700000</v>
      </c>
      <c r="O177" s="4">
        <v>105703185714</v>
      </c>
      <c r="P177" s="3">
        <v>4.2102543399999998E-2</v>
      </c>
      <c r="Q177" s="3">
        <v>1.3446713960000001</v>
      </c>
      <c r="R177" s="3">
        <v>-6.1556571829999998E-3</v>
      </c>
      <c r="S177" s="4">
        <v>3375949261096</v>
      </c>
      <c r="T177" s="3">
        <v>1.982349571E-2</v>
      </c>
      <c r="U177" s="4">
        <v>66923115709</v>
      </c>
      <c r="V177" s="3">
        <v>2.665608765E-2</v>
      </c>
      <c r="W177" s="3">
        <v>5.6154301429999998E-2</v>
      </c>
      <c r="X177" s="4">
        <v>42765.833469999998</v>
      </c>
      <c r="Y177" s="4">
        <v>40364.347959999999</v>
      </c>
      <c r="Z177" s="6">
        <v>0.92620823669999996</v>
      </c>
      <c r="AA177" s="3">
        <v>1.224943901E-2</v>
      </c>
      <c r="AB177" s="6">
        <v>0.32368886130000002</v>
      </c>
      <c r="AC177" s="3">
        <v>-4.0506142979999998E-3</v>
      </c>
      <c r="AD177" s="6">
        <v>0.6025193754</v>
      </c>
      <c r="AE177" s="3">
        <v>0.18486250000000001</v>
      </c>
      <c r="AF177" s="3">
        <v>8.3862500000000006E-2</v>
      </c>
      <c r="AG177" s="3">
        <v>9.4862500000000002E-2</v>
      </c>
      <c r="AH177" s="3">
        <v>4.48625E-2</v>
      </c>
      <c r="AI177" s="3">
        <v>0.40844999999999998</v>
      </c>
      <c r="AJ177" s="6">
        <v>0.44480711000000001</v>
      </c>
      <c r="AK177" s="4">
        <v>24320.301729999999</v>
      </c>
      <c r="AL177" t="s">
        <v>67</v>
      </c>
      <c r="AM177" t="s">
        <v>203</v>
      </c>
      <c r="AN177" t="str">
        <f t="shared" si="5"/>
        <v>Good Economic Resilience with Satisfactory Affordability.</v>
      </c>
      <c r="AP177" t="s">
        <v>40</v>
      </c>
    </row>
    <row r="178" spans="1:42" x14ac:dyDescent="0.4">
      <c r="A178" t="str">
        <f t="shared" si="4"/>
        <v>ITALY|2027</v>
      </c>
      <c r="B178" s="1" t="s">
        <v>200</v>
      </c>
      <c r="C178" s="1">
        <v>2027</v>
      </c>
      <c r="D178" s="4">
        <v>125735541889780</v>
      </c>
      <c r="E178" s="3">
        <v>4.7239309379999997E-2</v>
      </c>
      <c r="F178" s="2">
        <v>8372937901</v>
      </c>
      <c r="G178" s="3">
        <v>8.5201768609999996E-3</v>
      </c>
      <c r="H178" s="4">
        <v>2595560115302</v>
      </c>
      <c r="I178" s="3">
        <v>3.3835278099999998E-2</v>
      </c>
      <c r="J178" s="2">
        <v>58555046.149999999</v>
      </c>
      <c r="K178" s="3">
        <v>-2.5720730180000002E-3</v>
      </c>
      <c r="L178" s="3">
        <v>2.0643010529999999E-2</v>
      </c>
      <c r="M178" s="4">
        <v>891592292857</v>
      </c>
      <c r="N178" s="4">
        <v>1008983364286</v>
      </c>
      <c r="O178" s="4">
        <v>117391071429</v>
      </c>
      <c r="P178" s="3">
        <v>4.5227644980000002E-2</v>
      </c>
      <c r="Q178" s="3">
        <v>1.334494858</v>
      </c>
      <c r="R178" s="3">
        <v>-7.5680484109999996E-3</v>
      </c>
      <c r="S178" s="4">
        <v>3463761626488</v>
      </c>
      <c r="T178" s="3">
        <v>2.2362814639999999E-2</v>
      </c>
      <c r="U178" s="4">
        <v>77459459220</v>
      </c>
      <c r="V178" s="3">
        <v>2.9843061139999998E-2</v>
      </c>
      <c r="W178" s="3">
        <v>6.2459598569999997E-2</v>
      </c>
      <c r="X178" s="4">
        <v>44326.839200000002</v>
      </c>
      <c r="Y178" s="4">
        <v>41558.202619999996</v>
      </c>
      <c r="Z178" s="6">
        <v>0.93422496560000001</v>
      </c>
      <c r="AA178" s="3">
        <v>8.655428263E-3</v>
      </c>
      <c r="AB178" s="6">
        <v>0.32079497169999999</v>
      </c>
      <c r="AC178" s="3">
        <v>-9.0209940600000007E-3</v>
      </c>
      <c r="AD178" s="6">
        <v>0.61342999389999997</v>
      </c>
      <c r="AE178" s="3">
        <v>0.18996812499999999</v>
      </c>
      <c r="AF178" s="3">
        <v>8.8968124999999995E-2</v>
      </c>
      <c r="AG178" s="3">
        <v>9.9968125000000005E-2</v>
      </c>
      <c r="AH178" s="3">
        <v>4.9968125000000002E-2</v>
      </c>
      <c r="AI178" s="3">
        <v>0.42887249999999999</v>
      </c>
      <c r="AJ178" s="6">
        <v>0.46490009440000002</v>
      </c>
      <c r="AK178" s="4">
        <v>25493.047979999999</v>
      </c>
      <c r="AL178" t="s">
        <v>70</v>
      </c>
      <c r="AM178" t="s">
        <v>204</v>
      </c>
      <c r="AN178" t="str">
        <f t="shared" si="5"/>
        <v>Good Economic Resilience with Good Affordability.</v>
      </c>
      <c r="AP178" t="s">
        <v>40</v>
      </c>
    </row>
    <row r="179" spans="1:42" x14ac:dyDescent="0.4">
      <c r="A179" t="str">
        <f t="shared" si="4"/>
        <v>ITALY|2028</v>
      </c>
      <c r="B179" s="1" t="s">
        <v>200</v>
      </c>
      <c r="C179" s="1">
        <v>2028</v>
      </c>
      <c r="D179" s="4">
        <v>131237442252096</v>
      </c>
      <c r="E179" s="3">
        <v>4.375771782E-2</v>
      </c>
      <c r="F179" s="2">
        <v>8443822776</v>
      </c>
      <c r="G179" s="3">
        <v>8.465950178E-3</v>
      </c>
      <c r="H179" s="4">
        <v>2680026887135</v>
      </c>
      <c r="I179" s="3">
        <v>3.254279157E-2</v>
      </c>
      <c r="J179" s="2">
        <v>58418693.159999996</v>
      </c>
      <c r="K179" s="3">
        <v>-2.3286292880000002E-3</v>
      </c>
      <c r="L179" s="3">
        <v>2.0421206340000001E-2</v>
      </c>
      <c r="M179" s="4">
        <v>935901071429</v>
      </c>
      <c r="N179" s="4">
        <v>1064980028571</v>
      </c>
      <c r="O179" s="4">
        <v>129078957143</v>
      </c>
      <c r="P179" s="3">
        <v>4.8163306779999998E-2</v>
      </c>
      <c r="Q179" s="3">
        <v>1.323690561</v>
      </c>
      <c r="R179" s="3">
        <v>-8.0961696959999992E-3</v>
      </c>
      <c r="S179" s="4">
        <v>3547526293149</v>
      </c>
      <c r="T179" s="3">
        <v>2.4902133569999998E-2</v>
      </c>
      <c r="U179" s="4">
        <v>88340973600</v>
      </c>
      <c r="V179" s="3">
        <v>3.296271915E-2</v>
      </c>
      <c r="W179" s="3">
        <v>6.8764895709999996E-2</v>
      </c>
      <c r="X179" s="4">
        <v>45876.186930000003</v>
      </c>
      <c r="Y179" s="4">
        <v>42721.515720000003</v>
      </c>
      <c r="Z179" s="6">
        <v>0.94115777590000005</v>
      </c>
      <c r="AA179" s="3">
        <v>7.4209216330000001E-3</v>
      </c>
      <c r="AB179" s="6">
        <v>0.31737076390000002</v>
      </c>
      <c r="AC179" s="3">
        <v>-1.078929815E-2</v>
      </c>
      <c r="AD179" s="6">
        <v>0.62378701199999997</v>
      </c>
      <c r="AE179" s="3">
        <v>0.19532903130000001</v>
      </c>
      <c r="AF179" s="3">
        <v>9.4329031250000001E-2</v>
      </c>
      <c r="AG179" s="3">
        <v>0.1053290313</v>
      </c>
      <c r="AH179" s="3">
        <v>5.5329031250000001E-2</v>
      </c>
      <c r="AI179" s="3">
        <v>0.45031612500000001</v>
      </c>
      <c r="AJ179" s="6">
        <v>0.485937919</v>
      </c>
      <c r="AK179" s="4">
        <v>26649.126629999999</v>
      </c>
      <c r="AL179" t="s">
        <v>70</v>
      </c>
      <c r="AM179" t="s">
        <v>205</v>
      </c>
      <c r="AN179" t="str">
        <f t="shared" si="5"/>
        <v>Good Economic Resilience with Good Affordability.</v>
      </c>
      <c r="AP179" t="s">
        <v>40</v>
      </c>
    </row>
    <row r="180" spans="1:42" x14ac:dyDescent="0.4">
      <c r="A180" t="str">
        <f t="shared" si="4"/>
        <v>ITALY|2029</v>
      </c>
      <c r="B180" s="1" t="s">
        <v>200</v>
      </c>
      <c r="C180" s="1">
        <v>2029</v>
      </c>
      <c r="D180" s="4">
        <v>136712479650225</v>
      </c>
      <c r="E180" s="3">
        <v>4.1718562200000003E-2</v>
      </c>
      <c r="F180" s="2">
        <v>8514849364</v>
      </c>
      <c r="G180" s="3">
        <v>8.4116624760000001E-3</v>
      </c>
      <c r="H180" s="4">
        <v>2764722146561</v>
      </c>
      <c r="I180" s="3">
        <v>3.1602391690000002E-2</v>
      </c>
      <c r="J180" s="2">
        <v>58287581.409999996</v>
      </c>
      <c r="K180" s="3">
        <v>-2.2443457969999999E-3</v>
      </c>
      <c r="L180" s="3">
        <v>2.022289519E-2</v>
      </c>
      <c r="M180" s="4">
        <v>980209850000</v>
      </c>
      <c r="N180" s="4">
        <v>1133459161111</v>
      </c>
      <c r="O180" s="4">
        <v>153249311111</v>
      </c>
      <c r="P180" s="3">
        <v>5.5430275809999999E-2</v>
      </c>
      <c r="Q180" s="3">
        <v>1.3126666330000001</v>
      </c>
      <c r="R180" s="3">
        <v>-8.3281758400000003E-3</v>
      </c>
      <c r="S180" s="4">
        <v>3629158511407</v>
      </c>
      <c r="T180" s="3">
        <v>2.7441452500000001E-2</v>
      </c>
      <c r="U180" s="4">
        <v>99589380906</v>
      </c>
      <c r="V180" s="3">
        <v>3.602147906E-2</v>
      </c>
      <c r="W180" s="3">
        <v>7.5070192859999996E-2</v>
      </c>
      <c r="X180" s="4">
        <v>47432.438950000003</v>
      </c>
      <c r="Y180" s="4">
        <v>43871.676610000002</v>
      </c>
      <c r="Z180" s="6">
        <v>0.9477097874</v>
      </c>
      <c r="AA180" s="3">
        <v>6.961650479E-3</v>
      </c>
      <c r="AB180" s="6">
        <v>0.31376392219999999</v>
      </c>
      <c r="AC180" s="3">
        <v>-1.1495399890000001E-2</v>
      </c>
      <c r="AD180" s="6">
        <v>0.63394586519999996</v>
      </c>
      <c r="AE180" s="3">
        <v>0.20095798279999999</v>
      </c>
      <c r="AF180" s="3">
        <v>9.9957982809999998E-2</v>
      </c>
      <c r="AG180" s="3">
        <v>0.11095798279999999</v>
      </c>
      <c r="AH180" s="3">
        <v>6.0957982809999998E-2</v>
      </c>
      <c r="AI180" s="3">
        <v>0.47283193130000001</v>
      </c>
      <c r="AJ180" s="6">
        <v>0.51246362320000005</v>
      </c>
      <c r="AK180" s="4">
        <v>27812.26799</v>
      </c>
      <c r="AL180" t="s">
        <v>70</v>
      </c>
      <c r="AM180" t="s">
        <v>206</v>
      </c>
      <c r="AN180" t="str">
        <f t="shared" si="5"/>
        <v>Excellent Economic Resilience with Good Affordability.</v>
      </c>
      <c r="AP180" t="s">
        <v>40</v>
      </c>
    </row>
    <row r="181" spans="1:42" x14ac:dyDescent="0.4">
      <c r="A181" t="str">
        <f t="shared" si="4"/>
        <v>ITALY|2030</v>
      </c>
      <c r="B181" s="1" t="s">
        <v>200</v>
      </c>
      <c r="C181" s="1">
        <v>2030</v>
      </c>
      <c r="D181" s="4">
        <v>141834754671550</v>
      </c>
      <c r="E181" s="3"/>
      <c r="F181" s="2">
        <v>8586617399</v>
      </c>
      <c r="G181" s="3"/>
      <c r="H181" s="4">
        <v>2842820672411</v>
      </c>
      <c r="I181" s="3"/>
      <c r="J181" s="2">
        <v>58216209.859999999</v>
      </c>
      <c r="K181" s="3"/>
      <c r="L181" s="3">
        <v>2.0043188140000001E-2</v>
      </c>
      <c r="M181" s="4">
        <v>1024518628571</v>
      </c>
      <c r="N181" s="4">
        <v>1208008218430</v>
      </c>
      <c r="O181" s="4">
        <v>183489589859</v>
      </c>
      <c r="P181" s="3">
        <v>6.4544904870000003E-2</v>
      </c>
      <c r="Q181" s="3">
        <v>1.301566365</v>
      </c>
      <c r="R181" s="3"/>
      <c r="S181" s="4">
        <v>3700119770186</v>
      </c>
      <c r="T181" s="3">
        <v>2.9980771430000001E-2</v>
      </c>
      <c r="U181" s="4">
        <v>110932445088</v>
      </c>
      <c r="V181" s="3">
        <v>3.9021963700000002E-2</v>
      </c>
      <c r="W181" s="3">
        <v>8.1375489999999995E-2</v>
      </c>
      <c r="X181" s="4">
        <v>48832.115299999998</v>
      </c>
      <c r="Y181" s="4">
        <v>44858.377990000001</v>
      </c>
      <c r="Z181" s="6">
        <v>0.95412684930000002</v>
      </c>
      <c r="AA181" s="3"/>
      <c r="AB181" s="6">
        <v>0.31009489610000002</v>
      </c>
      <c r="AC181" s="3"/>
      <c r="AD181" s="6">
        <v>0.64403195319999995</v>
      </c>
      <c r="AE181" s="3">
        <v>0.20686838199999999</v>
      </c>
      <c r="AF181" s="3">
        <v>0.105868382</v>
      </c>
      <c r="AG181" s="3">
        <v>0.11686838200000001</v>
      </c>
      <c r="AH181" s="3">
        <v>6.686838195E-2</v>
      </c>
      <c r="AI181" s="3">
        <v>0.49647352779999998</v>
      </c>
      <c r="AJ181" s="6">
        <v>0.54203965710000002</v>
      </c>
      <c r="AK181" s="4">
        <v>28890.228800000001</v>
      </c>
      <c r="AL181" t="s">
        <v>70</v>
      </c>
      <c r="AM181" t="s">
        <v>207</v>
      </c>
      <c r="AN181" t="str">
        <f t="shared" si="5"/>
        <v>Excellent Economic Resilience with Good Affordability.</v>
      </c>
      <c r="AP181" t="s">
        <v>40</v>
      </c>
    </row>
    <row r="182" spans="1:42" x14ac:dyDescent="0.4">
      <c r="A182" t="str">
        <f t="shared" si="4"/>
        <v>FRANCE|2019</v>
      </c>
      <c r="B182" s="1" t="s">
        <v>208</v>
      </c>
      <c r="C182" s="1">
        <v>2019</v>
      </c>
      <c r="D182" s="4">
        <v>87700000000000</v>
      </c>
      <c r="E182" s="3"/>
      <c r="F182" s="2">
        <v>7810000000</v>
      </c>
      <c r="G182" s="3"/>
      <c r="H182" s="4">
        <v>2722794000000</v>
      </c>
      <c r="I182" s="3"/>
      <c r="J182" s="2">
        <v>67382061</v>
      </c>
      <c r="K182" s="3"/>
      <c r="L182" s="3">
        <v>3.1046681869999999E-2</v>
      </c>
      <c r="M182" s="4">
        <v>913209100000</v>
      </c>
      <c r="N182" s="4">
        <v>895514800000</v>
      </c>
      <c r="O182" s="4">
        <v>-17694300000</v>
      </c>
      <c r="P182" s="3">
        <v>-6.4985819709999998E-3</v>
      </c>
      <c r="Q182" s="3">
        <v>0.97899999999999998</v>
      </c>
      <c r="R182" s="3"/>
      <c r="S182" s="4">
        <v>2665615326000</v>
      </c>
      <c r="T182" s="3">
        <v>0</v>
      </c>
      <c r="U182" s="4">
        <v>0</v>
      </c>
      <c r="V182" s="3">
        <v>0</v>
      </c>
      <c r="W182" s="3">
        <v>1.108255E-2</v>
      </c>
      <c r="X182" s="4">
        <v>40408.292049999996</v>
      </c>
      <c r="Y182" s="4">
        <v>39960.46514</v>
      </c>
      <c r="Z182" s="6">
        <v>0.89</v>
      </c>
      <c r="AA182" s="3"/>
      <c r="AB182" s="6">
        <v>0.312</v>
      </c>
      <c r="AC182" s="3"/>
      <c r="AD182" s="6">
        <v>0.57799999999999996</v>
      </c>
      <c r="AE182" s="3">
        <v>0.168542162</v>
      </c>
      <c r="AF182" s="3">
        <v>8.9542162009999995E-2</v>
      </c>
      <c r="AG182" s="3">
        <v>6.8542162010000005E-2</v>
      </c>
      <c r="AH182" s="3">
        <v>2.2542162009999998E-2</v>
      </c>
      <c r="AI182" s="3">
        <v>0.34916864800000003</v>
      </c>
      <c r="AJ182" s="6">
        <v>0.37371674789999998</v>
      </c>
      <c r="AK182" s="4">
        <v>23097.148850000001</v>
      </c>
      <c r="AL182" t="s">
        <v>67</v>
      </c>
      <c r="AM182" t="s">
        <v>186</v>
      </c>
      <c r="AN182" t="str">
        <f t="shared" si="5"/>
        <v>Satisfactory Economic Resilience with Satisfactory Affordability.</v>
      </c>
      <c r="AP182" t="s">
        <v>40</v>
      </c>
    </row>
    <row r="183" spans="1:42" x14ac:dyDescent="0.4">
      <c r="A183" t="str">
        <f t="shared" si="4"/>
        <v>FRANCE|2020</v>
      </c>
      <c r="B183" s="1" t="s">
        <v>208</v>
      </c>
      <c r="C183" s="1">
        <v>2020</v>
      </c>
      <c r="D183" s="4">
        <v>84750000000000</v>
      </c>
      <c r="E183" s="3">
        <v>-3.3637400230000003E-2</v>
      </c>
      <c r="F183" s="2">
        <v>7890000000</v>
      </c>
      <c r="G183" s="3">
        <v>1.0243277849999999E-2</v>
      </c>
      <c r="H183" s="4">
        <v>2647926000000</v>
      </c>
      <c r="I183" s="3">
        <v>-2.7496755170000001E-2</v>
      </c>
      <c r="J183" s="2">
        <v>67601110</v>
      </c>
      <c r="K183" s="3">
        <v>3.2508504010000001E-3</v>
      </c>
      <c r="L183" s="3">
        <v>3.12439646E-2</v>
      </c>
      <c r="M183" s="4">
        <v>801836200000</v>
      </c>
      <c r="N183" s="4">
        <v>756174100000</v>
      </c>
      <c r="O183" s="4">
        <v>-45662100000</v>
      </c>
      <c r="P183" s="3">
        <v>-1.7244477380000001E-2</v>
      </c>
      <c r="Q183" s="3">
        <v>1.149</v>
      </c>
      <c r="R183" s="3">
        <v>0.1736465781</v>
      </c>
      <c r="S183" s="4">
        <v>3042466974000</v>
      </c>
      <c r="T183" s="3">
        <v>0</v>
      </c>
      <c r="U183" s="4">
        <v>0</v>
      </c>
      <c r="V183" s="3">
        <v>0</v>
      </c>
      <c r="W183" s="3">
        <v>4.7649900000000002E-3</v>
      </c>
      <c r="X183" s="4">
        <v>39169.859779999999</v>
      </c>
      <c r="Y183" s="4">
        <v>38983.215790000002</v>
      </c>
      <c r="Z183" s="6">
        <v>0.9</v>
      </c>
      <c r="AA183" s="3">
        <v>1.123595506E-2</v>
      </c>
      <c r="AB183" s="6">
        <v>0.307</v>
      </c>
      <c r="AC183" s="3">
        <v>-1.6286644950000002E-2</v>
      </c>
      <c r="AD183" s="6">
        <v>0.59299999999999997</v>
      </c>
      <c r="AE183" s="3">
        <v>0.1731364863</v>
      </c>
      <c r="AF183" s="3">
        <v>9.4136486330000005E-2</v>
      </c>
      <c r="AG183" s="3">
        <v>7.313648633E-2</v>
      </c>
      <c r="AH183" s="3">
        <v>2.7136486330000001E-2</v>
      </c>
      <c r="AI183" s="3">
        <v>0.36754594530000001</v>
      </c>
      <c r="AJ183" s="6">
        <v>0.3815454325</v>
      </c>
      <c r="AK183" s="4">
        <v>23117.046969999999</v>
      </c>
      <c r="AL183" t="s">
        <v>67</v>
      </c>
      <c r="AM183" t="s">
        <v>82</v>
      </c>
      <c r="AN183" t="str">
        <f t="shared" si="5"/>
        <v>Satisfactory Economic Resilience with Satisfactory Affordability.</v>
      </c>
      <c r="AP183" t="s">
        <v>40</v>
      </c>
    </row>
    <row r="184" spans="1:42" x14ac:dyDescent="0.4">
      <c r="A184" t="str">
        <f t="shared" si="4"/>
        <v>FRANCE|2021</v>
      </c>
      <c r="B184" s="1" t="s">
        <v>208</v>
      </c>
      <c r="C184" s="1">
        <v>2021</v>
      </c>
      <c r="D184" s="4">
        <v>96140000000000</v>
      </c>
      <c r="E184" s="3">
        <v>0.13439528019999999</v>
      </c>
      <c r="F184" s="2">
        <v>7950000000</v>
      </c>
      <c r="G184" s="3">
        <v>7.6045627380000001E-3</v>
      </c>
      <c r="H184" s="4">
        <v>2966434000000</v>
      </c>
      <c r="I184" s="3">
        <v>0.1202858388</v>
      </c>
      <c r="J184" s="2">
        <v>67842811</v>
      </c>
      <c r="K184" s="3">
        <v>3.5753998709999999E-3</v>
      </c>
      <c r="L184" s="3">
        <v>3.0855356770000002E-2</v>
      </c>
      <c r="M184" s="4">
        <v>964103800000</v>
      </c>
      <c r="N184" s="4">
        <v>928139300000</v>
      </c>
      <c r="O184" s="4">
        <v>-35964500000</v>
      </c>
      <c r="P184" s="3">
        <v>-1.2123816000000001E-2</v>
      </c>
      <c r="Q184" s="3">
        <v>1.131</v>
      </c>
      <c r="R184" s="3">
        <v>-1.566579634E-2</v>
      </c>
      <c r="S184" s="4">
        <v>3355036854000</v>
      </c>
      <c r="T184" s="3">
        <v>0</v>
      </c>
      <c r="U184" s="4">
        <v>0</v>
      </c>
      <c r="V184" s="3">
        <v>0</v>
      </c>
      <c r="W184" s="3">
        <v>1.642331E-2</v>
      </c>
      <c r="X184" s="4">
        <v>43725.104489999998</v>
      </c>
      <c r="Y184" s="4">
        <v>43006.993549999999</v>
      </c>
      <c r="Z184" s="6">
        <v>0.9</v>
      </c>
      <c r="AA184" s="3">
        <v>0</v>
      </c>
      <c r="AB184" s="6">
        <v>0.315</v>
      </c>
      <c r="AC184" s="3">
        <v>2.53968254E-2</v>
      </c>
      <c r="AD184" s="6">
        <v>0.58499999999999996</v>
      </c>
      <c r="AE184" s="3">
        <v>0.17797261719999999</v>
      </c>
      <c r="AF184" s="3">
        <v>9.8972617190000001E-2</v>
      </c>
      <c r="AG184" s="3">
        <v>7.7972617189999996E-2</v>
      </c>
      <c r="AH184" s="3">
        <v>3.1972617189999997E-2</v>
      </c>
      <c r="AI184" s="3">
        <v>0.3868904688</v>
      </c>
      <c r="AJ184" s="6">
        <v>0.40562200949999999</v>
      </c>
      <c r="AK184" s="4">
        <v>25159.091219999998</v>
      </c>
      <c r="AL184" t="s">
        <v>70</v>
      </c>
      <c r="AM184" t="s">
        <v>209</v>
      </c>
      <c r="AN184" t="str">
        <f t="shared" si="5"/>
        <v>Satisfactory Economic Resilience with Good Affordability.</v>
      </c>
      <c r="AP184" t="s">
        <v>40</v>
      </c>
    </row>
    <row r="185" spans="1:42" x14ac:dyDescent="0.4">
      <c r="A185" t="str">
        <f t="shared" si="4"/>
        <v>FRANCE|2022</v>
      </c>
      <c r="B185" s="1" t="s">
        <v>208</v>
      </c>
      <c r="C185" s="1">
        <v>2022</v>
      </c>
      <c r="D185" s="4">
        <v>101560000000000</v>
      </c>
      <c r="E185" s="3">
        <v>5.6376118160000002E-2</v>
      </c>
      <c r="F185" s="2">
        <v>8020000000</v>
      </c>
      <c r="G185" s="3">
        <v>8.8050314469999991E-3</v>
      </c>
      <c r="H185" s="4">
        <v>2794788000000</v>
      </c>
      <c r="I185" s="3">
        <v>-5.7862740250000003E-2</v>
      </c>
      <c r="J185" s="2">
        <v>68184457</v>
      </c>
      <c r="K185" s="3">
        <v>5.0358467610000001E-3</v>
      </c>
      <c r="L185" s="3">
        <v>2.7518589999999999E-2</v>
      </c>
      <c r="M185" s="4">
        <v>1099664000000</v>
      </c>
      <c r="N185" s="4">
        <v>1023341000000</v>
      </c>
      <c r="O185" s="4">
        <v>-76323000000</v>
      </c>
      <c r="P185" s="3">
        <v>-2.7309048129999999E-2</v>
      </c>
      <c r="Q185" s="3">
        <v>1.1140000000000001</v>
      </c>
      <c r="R185" s="3">
        <v>-1.503094607E-2</v>
      </c>
      <c r="S185" s="4">
        <v>3113393832000</v>
      </c>
      <c r="T185" s="3">
        <v>2.5000000000000001E-2</v>
      </c>
      <c r="U185" s="4">
        <v>77834845800</v>
      </c>
      <c r="V185" s="3">
        <v>2.785E-2</v>
      </c>
      <c r="W185" s="3">
        <v>5.222367E-2</v>
      </c>
      <c r="X185" s="4">
        <v>40988.637629999997</v>
      </c>
      <c r="Y185" s="4">
        <v>38848.060550000002</v>
      </c>
      <c r="Z185" s="6">
        <v>0.91</v>
      </c>
      <c r="AA185" s="3">
        <v>1.111111111E-2</v>
      </c>
      <c r="AB185" s="6">
        <v>0.312</v>
      </c>
      <c r="AC185" s="3">
        <v>-9.615384615E-3</v>
      </c>
      <c r="AD185" s="6">
        <v>0.59799999999999998</v>
      </c>
      <c r="AE185" s="3">
        <v>0.18306328129999999</v>
      </c>
      <c r="AF185" s="3">
        <v>0.1040632813</v>
      </c>
      <c r="AG185" s="3">
        <v>8.3063281249999996E-2</v>
      </c>
      <c r="AH185" s="3">
        <v>3.7063281250000003E-2</v>
      </c>
      <c r="AI185" s="3">
        <v>0.40725312499999999</v>
      </c>
      <c r="AJ185" s="6">
        <v>0.37961266690000001</v>
      </c>
      <c r="AK185" s="4">
        <v>23231.140210000001</v>
      </c>
      <c r="AL185" t="s">
        <v>67</v>
      </c>
      <c r="AM185" t="s">
        <v>82</v>
      </c>
      <c r="AN185" t="str">
        <f t="shared" si="5"/>
        <v>Satisfactory Economic Resilience with Satisfactory Affordability.</v>
      </c>
      <c r="AP185" t="s">
        <v>40</v>
      </c>
    </row>
    <row r="186" spans="1:42" x14ac:dyDescent="0.4">
      <c r="A186" t="str">
        <f t="shared" si="4"/>
        <v>FRANCE|2023</v>
      </c>
      <c r="B186" s="1" t="s">
        <v>208</v>
      </c>
      <c r="C186" s="1">
        <v>2023</v>
      </c>
      <c r="D186" s="4">
        <v>106800000000000</v>
      </c>
      <c r="E186" s="3">
        <v>5.1595116189999998E-2</v>
      </c>
      <c r="F186" s="2">
        <v>8090000000</v>
      </c>
      <c r="G186" s="3">
        <v>8.7281795509999999E-3</v>
      </c>
      <c r="H186" s="4">
        <v>3056251000000</v>
      </c>
      <c r="I186" s="3">
        <v>9.3553786550000004E-2</v>
      </c>
      <c r="J186" s="2">
        <v>68372286</v>
      </c>
      <c r="K186" s="3">
        <v>2.7547187179999999E-3</v>
      </c>
      <c r="L186" s="3">
        <v>2.86165824E-2</v>
      </c>
      <c r="M186" s="4">
        <v>1105442000000</v>
      </c>
      <c r="N186" s="4">
        <v>1053070000000</v>
      </c>
      <c r="O186" s="4">
        <v>-52372000000</v>
      </c>
      <c r="P186" s="3">
        <v>-1.713602711E-2</v>
      </c>
      <c r="Q186" s="3">
        <v>1.0980000000000001</v>
      </c>
      <c r="R186" s="3">
        <v>-1.436265709E-2</v>
      </c>
      <c r="S186" s="4">
        <v>3355763598000</v>
      </c>
      <c r="T186" s="3">
        <v>4.4999999999999998E-2</v>
      </c>
      <c r="U186" s="4">
        <v>151009361910</v>
      </c>
      <c r="V186" s="3">
        <v>4.9410000000000003E-2</v>
      </c>
      <c r="W186" s="5">
        <v>4.8783569999999998E-2</v>
      </c>
      <c r="X186" s="4">
        <v>44700.143559999997</v>
      </c>
      <c r="Y186" s="4">
        <v>42519.510979999999</v>
      </c>
      <c r="Z186" s="6">
        <v>0.91</v>
      </c>
      <c r="AA186" s="3">
        <v>0</v>
      </c>
      <c r="AB186" s="6">
        <v>0.318</v>
      </c>
      <c r="AC186" s="3">
        <v>1.886792453E-2</v>
      </c>
      <c r="AD186" s="6">
        <v>0.59199999999999997</v>
      </c>
      <c r="AE186" s="3">
        <v>0.18842187499999999</v>
      </c>
      <c r="AF186" s="3">
        <v>0.109421875</v>
      </c>
      <c r="AG186" s="3">
        <v>8.8421874999999997E-2</v>
      </c>
      <c r="AH186" s="3">
        <v>4.2421874999999998E-2</v>
      </c>
      <c r="AI186" s="3">
        <v>0.4286875</v>
      </c>
      <c r="AJ186" s="6">
        <v>0.39075805530000002</v>
      </c>
      <c r="AK186" s="4">
        <v>25171.550500000001</v>
      </c>
      <c r="AL186" t="s">
        <v>70</v>
      </c>
      <c r="AM186" t="s">
        <v>210</v>
      </c>
      <c r="AN186" t="str">
        <f t="shared" si="5"/>
        <v>Satisfactory Economic Resilience with Good Affordability.</v>
      </c>
      <c r="AP186" t="s">
        <v>40</v>
      </c>
    </row>
    <row r="187" spans="1:42" x14ac:dyDescent="0.4">
      <c r="A187" t="str">
        <f t="shared" si="4"/>
        <v>FRANCE|2024</v>
      </c>
      <c r="B187" s="1" t="s">
        <v>208</v>
      </c>
      <c r="C187" s="1">
        <v>2024</v>
      </c>
      <c r="D187" s="4">
        <v>112600000000000</v>
      </c>
      <c r="E187" s="3">
        <v>5.4307116099999997E-2</v>
      </c>
      <c r="F187" s="2">
        <v>8161972572</v>
      </c>
      <c r="G187" s="3">
        <v>8.8964860320000002E-3</v>
      </c>
      <c r="H187" s="4">
        <v>3160443000000</v>
      </c>
      <c r="I187" s="3">
        <v>3.4091440789999997E-2</v>
      </c>
      <c r="J187" s="2">
        <v>68551653</v>
      </c>
      <c r="K187" s="3">
        <v>2.6233874939999998E-3</v>
      </c>
      <c r="L187" s="3">
        <v>2.806787744E-2</v>
      </c>
      <c r="M187" s="4">
        <v>1081454000000</v>
      </c>
      <c r="N187" s="4">
        <v>1071066000000</v>
      </c>
      <c r="O187" s="4">
        <v>-10388000000</v>
      </c>
      <c r="P187" s="3">
        <v>-3.2868809849999998E-3</v>
      </c>
      <c r="Q187" s="3">
        <v>1.1299999999999999</v>
      </c>
      <c r="R187" s="3">
        <v>2.9143898000000001E-2</v>
      </c>
      <c r="S187" s="4">
        <v>3571300590000</v>
      </c>
      <c r="T187" s="3">
        <v>3.15E-2</v>
      </c>
      <c r="U187" s="4">
        <v>112495968585</v>
      </c>
      <c r="V187" s="3">
        <v>3.5595000000000002E-2</v>
      </c>
      <c r="W187" s="3">
        <v>1.999049E-2</v>
      </c>
      <c r="X187" s="4">
        <v>46103.089590000003</v>
      </c>
      <c r="Y187" s="4">
        <v>45181.466240000002</v>
      </c>
      <c r="Z187" s="6">
        <v>0.92</v>
      </c>
      <c r="AA187" s="3">
        <v>1.0989010990000001E-2</v>
      </c>
      <c r="AB187" s="6">
        <v>0.308</v>
      </c>
      <c r="AC187" s="3">
        <v>-3.2467532469999998E-2</v>
      </c>
      <c r="AD187" s="6">
        <v>0.61199999999999999</v>
      </c>
      <c r="AE187" s="3">
        <v>0.1940625</v>
      </c>
      <c r="AF187" s="3">
        <v>0.1150625</v>
      </c>
      <c r="AG187" s="3">
        <v>9.4062499999999993E-2</v>
      </c>
      <c r="AH187" s="3">
        <v>4.8062500000000001E-2</v>
      </c>
      <c r="AI187" s="3">
        <v>0.45124999999999998</v>
      </c>
      <c r="AJ187" s="6">
        <v>0.44043599649999998</v>
      </c>
      <c r="AK187" s="4">
        <v>27651.057339999999</v>
      </c>
      <c r="AL187" t="s">
        <v>70</v>
      </c>
      <c r="AM187" t="s">
        <v>211</v>
      </c>
      <c r="AN187" t="str">
        <f t="shared" si="5"/>
        <v>Good Economic Resilience with Good Affordability.</v>
      </c>
      <c r="AP187" t="s">
        <v>40</v>
      </c>
    </row>
    <row r="188" spans="1:42" x14ac:dyDescent="0.4">
      <c r="A188" t="str">
        <f t="shared" si="4"/>
        <v>FRANCE|2025</v>
      </c>
      <c r="B188" s="1" t="s">
        <v>208</v>
      </c>
      <c r="C188" s="1">
        <v>2025</v>
      </c>
      <c r="D188" s="4">
        <v>113795678000000</v>
      </c>
      <c r="E188" s="3">
        <v>1.061880995E-2</v>
      </c>
      <c r="F188" s="2">
        <v>8231613070</v>
      </c>
      <c r="G188" s="3">
        <v>8.5323121809999999E-3</v>
      </c>
      <c r="H188" s="4">
        <v>3211000000000</v>
      </c>
      <c r="I188" s="3">
        <v>1.5996808040000001E-2</v>
      </c>
      <c r="J188" s="2">
        <v>68600000</v>
      </c>
      <c r="K188" s="3">
        <v>7.0526381029999998E-4</v>
      </c>
      <c r="L188" s="3">
        <v>2.8217240380000001E-2</v>
      </c>
      <c r="M188" s="4">
        <v>998000000000</v>
      </c>
      <c r="N188" s="4">
        <v>885000000000</v>
      </c>
      <c r="O188" s="4">
        <v>-113000000000</v>
      </c>
      <c r="P188" s="3">
        <v>-3.5191529120000002E-2</v>
      </c>
      <c r="Q188" s="3">
        <v>1.1299999999999999</v>
      </c>
      <c r="R188" s="3">
        <v>0</v>
      </c>
      <c r="S188" s="4">
        <v>3628430000000</v>
      </c>
      <c r="T188" s="3">
        <v>2.1499999999999998E-2</v>
      </c>
      <c r="U188" s="4">
        <v>78011245000</v>
      </c>
      <c r="V188" s="3">
        <v>2.4295000000000001E-2</v>
      </c>
      <c r="W188" s="3">
        <v>0.02</v>
      </c>
      <c r="X188" s="4">
        <v>46807.580170000001</v>
      </c>
      <c r="Y188" s="4">
        <v>45871.428569999996</v>
      </c>
      <c r="Z188" s="6">
        <v>0.92</v>
      </c>
      <c r="AA188" s="3">
        <v>0</v>
      </c>
      <c r="AB188" s="6">
        <v>0.29799999999999999</v>
      </c>
      <c r="AC188" s="3">
        <v>-3.3557046979999998E-2</v>
      </c>
      <c r="AD188" s="6">
        <v>0.622</v>
      </c>
      <c r="AE188" s="3">
        <v>0.2</v>
      </c>
      <c r="AF188" s="3">
        <v>0.121</v>
      </c>
      <c r="AG188" s="3">
        <v>0.1</v>
      </c>
      <c r="AH188" s="3">
        <v>5.3999999999999999E-2</v>
      </c>
      <c r="AI188" s="3">
        <v>0.47499999999999998</v>
      </c>
      <c r="AJ188" s="6">
        <v>0.44373071130000002</v>
      </c>
      <c r="AK188" s="4">
        <v>28532.028569999999</v>
      </c>
      <c r="AL188" t="s">
        <v>70</v>
      </c>
      <c r="AM188" t="s">
        <v>211</v>
      </c>
      <c r="AN188" t="str">
        <f t="shared" si="5"/>
        <v>Good Economic Resilience with Good Affordability.</v>
      </c>
      <c r="AO188" t="s">
        <v>322</v>
      </c>
      <c r="AP188" t="s">
        <v>40</v>
      </c>
    </row>
    <row r="189" spans="1:42" x14ac:dyDescent="0.4">
      <c r="A189" t="str">
        <f t="shared" si="4"/>
        <v>FRANCE|2026</v>
      </c>
      <c r="B189" s="1" t="s">
        <v>208</v>
      </c>
      <c r="C189" s="1">
        <v>2026</v>
      </c>
      <c r="D189" s="4">
        <v>120063810405112</v>
      </c>
      <c r="E189" s="3">
        <v>5.5082341569999999E-2</v>
      </c>
      <c r="F189" s="2">
        <v>8302201675</v>
      </c>
      <c r="G189" s="3">
        <v>8.575306441E-3</v>
      </c>
      <c r="H189" s="4">
        <v>3306075136304</v>
      </c>
      <c r="I189" s="3">
        <v>2.9609198480000001E-2</v>
      </c>
      <c r="J189" s="2">
        <v>68875356.540000007</v>
      </c>
      <c r="K189" s="3">
        <v>4.0139437179999996E-3</v>
      </c>
      <c r="L189" s="3">
        <v>2.7535983779999999E-2</v>
      </c>
      <c r="M189" s="4">
        <v>1131236514286</v>
      </c>
      <c r="N189" s="4">
        <v>1047925042857</v>
      </c>
      <c r="O189" s="4">
        <v>-83311471429</v>
      </c>
      <c r="P189" s="3">
        <v>-2.5199509389999999E-2</v>
      </c>
      <c r="Q189" s="3">
        <v>1.15935301</v>
      </c>
      <c r="R189" s="3">
        <v>2.5976114790000001E-2</v>
      </c>
      <c r="S189" s="4">
        <v>3832908159622</v>
      </c>
      <c r="T189" s="3">
        <v>4.221428571E-2</v>
      </c>
      <c r="U189" s="4">
        <v>161803480167</v>
      </c>
      <c r="V189" s="3">
        <v>4.8941259199999997E-2</v>
      </c>
      <c r="W189" s="3">
        <v>3.7547455709999997E-2</v>
      </c>
      <c r="X189" s="4">
        <v>48000.842429999997</v>
      </c>
      <c r="Y189" s="4">
        <v>46198.532919999998</v>
      </c>
      <c r="Z189" s="6">
        <v>0.92612719450000003</v>
      </c>
      <c r="AA189" s="3">
        <v>6.6599940070000002E-3</v>
      </c>
      <c r="AB189" s="6">
        <v>0.30017354000000002</v>
      </c>
      <c r="AC189" s="3">
        <v>7.240944765E-3</v>
      </c>
      <c r="AD189" s="6">
        <v>0.62595365449999996</v>
      </c>
      <c r="AE189" s="3">
        <v>0.2059375</v>
      </c>
      <c r="AF189" s="3">
        <v>0.12693750000000001</v>
      </c>
      <c r="AG189" s="3">
        <v>0.1059375</v>
      </c>
      <c r="AH189" s="3">
        <v>5.9937499999999998E-2</v>
      </c>
      <c r="AI189" s="3">
        <v>0.49875000000000003</v>
      </c>
      <c r="AJ189" s="6">
        <v>0.45214521520000001</v>
      </c>
      <c r="AK189" s="4">
        <v>28918.140510000001</v>
      </c>
      <c r="AL189" t="s">
        <v>70</v>
      </c>
      <c r="AM189" t="s">
        <v>212</v>
      </c>
      <c r="AN189" t="str">
        <f t="shared" si="5"/>
        <v>Good Economic Resilience with Good Affordability.</v>
      </c>
      <c r="AP189" t="s">
        <v>40</v>
      </c>
    </row>
    <row r="190" spans="1:42" x14ac:dyDescent="0.4">
      <c r="A190" t="str">
        <f t="shared" si="4"/>
        <v>FRANCE|2027</v>
      </c>
      <c r="B190" s="1" t="s">
        <v>208</v>
      </c>
      <c r="C190" s="1">
        <v>2027</v>
      </c>
      <c r="D190" s="4">
        <v>125735541889780</v>
      </c>
      <c r="E190" s="3">
        <v>4.7239309379999997E-2</v>
      </c>
      <c r="F190" s="2">
        <v>8372937901</v>
      </c>
      <c r="G190" s="3">
        <v>8.5201768609999996E-3</v>
      </c>
      <c r="H190" s="4">
        <v>3401175670945</v>
      </c>
      <c r="I190" s="3">
        <v>2.876538818E-2</v>
      </c>
      <c r="J190" s="2">
        <v>69109584.170000002</v>
      </c>
      <c r="K190" s="3">
        <v>3.4007465749999999E-3</v>
      </c>
      <c r="L190" s="3">
        <v>2.7050232729999998E-2</v>
      </c>
      <c r="M190" s="4">
        <v>1165341746429</v>
      </c>
      <c r="N190" s="4">
        <v>1073752546429</v>
      </c>
      <c r="O190" s="4">
        <v>-91589200000</v>
      </c>
      <c r="P190" s="3">
        <v>-2.6928688449999998E-2</v>
      </c>
      <c r="Q190" s="3">
        <v>1.181299149</v>
      </c>
      <c r="R190" s="3">
        <v>1.892964368E-2</v>
      </c>
      <c r="S190" s="4">
        <v>4017805926006</v>
      </c>
      <c r="T190" s="3">
        <v>4.8375000000000001E-2</v>
      </c>
      <c r="U190" s="4">
        <v>194361361671</v>
      </c>
      <c r="V190" s="3">
        <v>5.714534634E-2</v>
      </c>
      <c r="W190" s="3">
        <v>4.0746156069999998E-2</v>
      </c>
      <c r="X190" s="4">
        <v>49214.240129999998</v>
      </c>
      <c r="Y190" s="4">
        <v>47208.94902</v>
      </c>
      <c r="Z190" s="6">
        <v>0.93152692790000002</v>
      </c>
      <c r="AA190" s="3">
        <v>5.8304447749999997E-3</v>
      </c>
      <c r="AB190" s="6">
        <v>0.29978134870000001</v>
      </c>
      <c r="AC190" s="3">
        <v>-1.3082580379999999E-3</v>
      </c>
      <c r="AD190" s="6">
        <v>0.63174557929999997</v>
      </c>
      <c r="AE190" s="3">
        <v>0.21217187500000001</v>
      </c>
      <c r="AF190" s="3">
        <v>0.133171875</v>
      </c>
      <c r="AG190" s="3">
        <v>0.112171875</v>
      </c>
      <c r="AH190" s="3">
        <v>6.6171875000000005E-2</v>
      </c>
      <c r="AI190" s="3">
        <v>0.52368749999999997</v>
      </c>
      <c r="AJ190" s="6">
        <v>0.46666369790000001</v>
      </c>
      <c r="AK190" s="4">
        <v>29824.044849999998</v>
      </c>
      <c r="AL190" t="s">
        <v>70</v>
      </c>
      <c r="AM190" t="s">
        <v>213</v>
      </c>
      <c r="AN190" t="str">
        <f t="shared" si="5"/>
        <v>Good Economic Resilience with Good Affordability.</v>
      </c>
      <c r="AP190" t="s">
        <v>40</v>
      </c>
    </row>
    <row r="191" spans="1:42" x14ac:dyDescent="0.4">
      <c r="A191" t="str">
        <f t="shared" si="4"/>
        <v>FRANCE|2028</v>
      </c>
      <c r="B191" s="1" t="s">
        <v>208</v>
      </c>
      <c r="C191" s="1">
        <v>2028</v>
      </c>
      <c r="D191" s="4">
        <v>131237442252096</v>
      </c>
      <c r="E191" s="3">
        <v>4.375771782E-2</v>
      </c>
      <c r="F191" s="2">
        <v>8443822776</v>
      </c>
      <c r="G191" s="3">
        <v>8.465950178E-3</v>
      </c>
      <c r="H191" s="4">
        <v>3496731049768</v>
      </c>
      <c r="I191" s="3">
        <v>2.8094808400000001E-2</v>
      </c>
      <c r="J191" s="2">
        <v>69329893.870000005</v>
      </c>
      <c r="K191" s="3">
        <v>3.1878313339999999E-3</v>
      </c>
      <c r="L191" s="3">
        <v>2.6644309660000001E-2</v>
      </c>
      <c r="M191" s="4">
        <v>1199446978571</v>
      </c>
      <c r="N191" s="4">
        <v>1099580050000</v>
      </c>
      <c r="O191" s="4">
        <v>-99866928571</v>
      </c>
      <c r="P191" s="3">
        <v>-2.856008287E-2</v>
      </c>
      <c r="Q191" s="3">
        <v>1.20074071</v>
      </c>
      <c r="R191" s="3">
        <v>1.6457779530000001E-2</v>
      </c>
      <c r="S191" s="4">
        <v>4198667323534</v>
      </c>
      <c r="T191" s="3">
        <v>5.4535714290000002E-2</v>
      </c>
      <c r="U191" s="4">
        <v>228977321537</v>
      </c>
      <c r="V191" s="3">
        <v>6.5483252290000002E-2</v>
      </c>
      <c r="W191" s="3">
        <v>4.3944856429999998E-2</v>
      </c>
      <c r="X191" s="4">
        <v>50436.122929999998</v>
      </c>
      <c r="Y191" s="4">
        <v>48219.714749999999</v>
      </c>
      <c r="Z191" s="6">
        <v>0.93668267549999995</v>
      </c>
      <c r="AA191" s="3">
        <v>5.5347272889999998E-3</v>
      </c>
      <c r="AB191" s="6">
        <v>0.29852212259999999</v>
      </c>
      <c r="AC191" s="3">
        <v>-4.2182001760000002E-3</v>
      </c>
      <c r="AD191" s="6">
        <v>0.63816055289999996</v>
      </c>
      <c r="AE191" s="3">
        <v>0.2187179688</v>
      </c>
      <c r="AF191" s="3">
        <v>0.13971796880000001</v>
      </c>
      <c r="AG191" s="3">
        <v>0.1187179688</v>
      </c>
      <c r="AH191" s="3">
        <v>7.271796875E-2</v>
      </c>
      <c r="AI191" s="3">
        <v>0.54987187500000001</v>
      </c>
      <c r="AJ191" s="6">
        <v>0.48247284950000002</v>
      </c>
      <c r="AK191" s="4">
        <v>30771.919819999999</v>
      </c>
      <c r="AL191" t="s">
        <v>52</v>
      </c>
      <c r="AM191" t="s">
        <v>214</v>
      </c>
      <c r="AN191" t="str">
        <f t="shared" si="5"/>
        <v>Good Economic Resilience with Very Good Affordability.</v>
      </c>
      <c r="AP191" t="s">
        <v>40</v>
      </c>
    </row>
    <row r="192" spans="1:42" x14ac:dyDescent="0.4">
      <c r="A192" t="str">
        <f t="shared" si="4"/>
        <v>FRANCE|2029</v>
      </c>
      <c r="B192" s="1" t="s">
        <v>208</v>
      </c>
      <c r="C192" s="1">
        <v>2029</v>
      </c>
      <c r="D192" s="4">
        <v>136712479650225</v>
      </c>
      <c r="E192" s="3">
        <v>4.1718562200000003E-2</v>
      </c>
      <c r="F192" s="2">
        <v>8514849364</v>
      </c>
      <c r="G192" s="3">
        <v>8.4116624760000001E-3</v>
      </c>
      <c r="H192" s="4">
        <v>3592853654452</v>
      </c>
      <c r="I192" s="3">
        <v>2.7489275930000001E-2</v>
      </c>
      <c r="J192" s="2">
        <v>69545340.379999995</v>
      </c>
      <c r="K192" s="3">
        <v>3.1075557109999999E-3</v>
      </c>
      <c r="L192" s="3">
        <v>2.6280363460000001E-2</v>
      </c>
      <c r="M192" s="4">
        <v>1233552210714</v>
      </c>
      <c r="N192" s="4">
        <v>1127752103175</v>
      </c>
      <c r="O192" s="4">
        <v>-105800107540</v>
      </c>
      <c r="P192" s="3">
        <v>-2.9447374629999998E-2</v>
      </c>
      <c r="Q192" s="3">
        <v>1.2193307470000001</v>
      </c>
      <c r="R192" s="3">
        <v>1.5482140720000001E-2</v>
      </c>
      <c r="S192" s="4">
        <v>4380876929209</v>
      </c>
      <c r="T192" s="3">
        <v>6.0696428570000002E-2</v>
      </c>
      <c r="U192" s="4">
        <v>265903583614</v>
      </c>
      <c r="V192" s="3">
        <v>7.400902157E-2</v>
      </c>
      <c r="W192" s="3">
        <v>4.7143556789999999E-2</v>
      </c>
      <c r="X192" s="4">
        <v>51662.032780000001</v>
      </c>
      <c r="Y192" s="4">
        <v>49226.500809999998</v>
      </c>
      <c r="Z192" s="6">
        <v>0.94175538599999997</v>
      </c>
      <c r="AA192" s="3">
        <v>5.4156126520000002E-3</v>
      </c>
      <c r="AB192" s="6">
        <v>0.29695683220000002</v>
      </c>
      <c r="AC192" s="3">
        <v>-5.2711041699999997E-3</v>
      </c>
      <c r="AD192" s="6">
        <v>0.64479855379999995</v>
      </c>
      <c r="AE192" s="3">
        <v>0.2255913672</v>
      </c>
      <c r="AF192" s="3">
        <v>0.14659136719999999</v>
      </c>
      <c r="AG192" s="3">
        <v>0.1255913672</v>
      </c>
      <c r="AH192" s="3">
        <v>7.9591367189999998E-2</v>
      </c>
      <c r="AI192" s="3">
        <v>0.57736546879999995</v>
      </c>
      <c r="AJ192" s="6">
        <v>0.50018943599999999</v>
      </c>
      <c r="AK192" s="4">
        <v>31741.176530000001</v>
      </c>
      <c r="AL192" t="s">
        <v>52</v>
      </c>
      <c r="AM192" t="s">
        <v>215</v>
      </c>
      <c r="AN192" t="str">
        <f t="shared" si="5"/>
        <v>Good Economic Resilience with Very Good Affordability.</v>
      </c>
      <c r="AP192" t="s">
        <v>40</v>
      </c>
    </row>
    <row r="193" spans="1:42" x14ac:dyDescent="0.4">
      <c r="A193" t="str">
        <f t="shared" si="4"/>
        <v>FRANCE|2030</v>
      </c>
      <c r="B193" s="1" t="s">
        <v>208</v>
      </c>
      <c r="C193" s="1">
        <v>2030</v>
      </c>
      <c r="D193" s="4">
        <v>141834754671550</v>
      </c>
      <c r="E193" s="3"/>
      <c r="F193" s="2">
        <v>8586617399</v>
      </c>
      <c r="G193" s="3"/>
      <c r="H193" s="4">
        <v>3678556070956</v>
      </c>
      <c r="I193" s="3"/>
      <c r="J193" s="2">
        <v>69738644.349999994</v>
      </c>
      <c r="K193" s="3"/>
      <c r="L193" s="3">
        <v>2.593550558E-2</v>
      </c>
      <c r="M193" s="4">
        <v>1267657442857</v>
      </c>
      <c r="N193" s="4">
        <v>1151589190300</v>
      </c>
      <c r="O193" s="4">
        <v>-116068252557</v>
      </c>
      <c r="P193" s="3">
        <v>-3.1552666399999998E-2</v>
      </c>
      <c r="Q193" s="3">
        <v>1.237651053</v>
      </c>
      <c r="R193" s="3"/>
      <c r="S193" s="4">
        <v>4552768795164</v>
      </c>
      <c r="T193" s="3">
        <v>6.6857142859999996E-2</v>
      </c>
      <c r="U193" s="4">
        <v>304385113734</v>
      </c>
      <c r="V193" s="3">
        <v>8.2745813269999996E-2</v>
      </c>
      <c r="W193" s="3">
        <v>5.0342257139999999E-2</v>
      </c>
      <c r="X193" s="4">
        <v>52747.742740000002</v>
      </c>
      <c r="Y193" s="4">
        <v>50092.302309999999</v>
      </c>
      <c r="Z193" s="6">
        <v>0.94680109150000002</v>
      </c>
      <c r="AA193" s="3"/>
      <c r="AB193" s="6">
        <v>0.29528030090000001</v>
      </c>
      <c r="AC193" s="3"/>
      <c r="AD193" s="6">
        <v>0.65152079060000001</v>
      </c>
      <c r="AE193" s="3">
        <v>0.23280843549999999</v>
      </c>
      <c r="AF193" s="3">
        <v>0.15380843550000001</v>
      </c>
      <c r="AG193" s="3">
        <v>0.13280843549999999</v>
      </c>
      <c r="AH193" s="3">
        <v>8.6808435549999993E-2</v>
      </c>
      <c r="AI193" s="3">
        <v>0.60623374220000004</v>
      </c>
      <c r="AJ193" s="6">
        <v>0.51787076809999999</v>
      </c>
      <c r="AK193" s="4">
        <v>32636.1764</v>
      </c>
      <c r="AL193" t="s">
        <v>52</v>
      </c>
      <c r="AM193" t="s">
        <v>216</v>
      </c>
      <c r="AN193" t="str">
        <f t="shared" si="5"/>
        <v>Excellent Economic Resilience with Very Good Affordability.</v>
      </c>
      <c r="AP193" t="s">
        <v>40</v>
      </c>
    </row>
    <row r="194" spans="1:42" x14ac:dyDescent="0.4">
      <c r="A194" t="str">
        <f t="shared" si="4"/>
        <v>CANADA|2019</v>
      </c>
      <c r="B194" s="1" t="s">
        <v>218</v>
      </c>
      <c r="C194" s="1">
        <v>2019</v>
      </c>
      <c r="D194" s="4">
        <v>87700000000000</v>
      </c>
      <c r="E194" s="3"/>
      <c r="F194" s="2">
        <v>7810000000</v>
      </c>
      <c r="G194" s="3"/>
      <c r="H194" s="4">
        <v>1743725000000</v>
      </c>
      <c r="I194" s="3"/>
      <c r="J194" s="2">
        <v>37618495</v>
      </c>
      <c r="K194" s="3"/>
      <c r="L194" s="3">
        <v>1.988283922E-2</v>
      </c>
      <c r="M194" s="4">
        <v>589706700000</v>
      </c>
      <c r="N194" s="4">
        <v>564142100000</v>
      </c>
      <c r="O194" s="4">
        <v>-25564600000</v>
      </c>
      <c r="P194" s="3">
        <v>-1.4660912700000001E-2</v>
      </c>
      <c r="Q194" s="3">
        <v>0.53362324999999999</v>
      </c>
      <c r="R194" s="3"/>
      <c r="S194" s="4">
        <v>930492201606</v>
      </c>
      <c r="T194" s="3">
        <v>1.7500000000000002E-2</v>
      </c>
      <c r="U194" s="4">
        <v>16283613528</v>
      </c>
      <c r="V194" s="3">
        <v>9.338406875E-3</v>
      </c>
      <c r="W194" s="3">
        <v>1.949269E-2</v>
      </c>
      <c r="X194" s="4">
        <v>46352.864459999997</v>
      </c>
      <c r="Y194" s="4">
        <v>45449.322440000004</v>
      </c>
      <c r="Z194" s="6">
        <v>0.92</v>
      </c>
      <c r="AA194" s="3"/>
      <c r="AB194" s="6">
        <v>0.317</v>
      </c>
      <c r="AC194" s="3"/>
      <c r="AD194" s="6">
        <v>0.60299999999999998</v>
      </c>
      <c r="AE194" s="3">
        <v>0.10311182689999999</v>
      </c>
      <c r="AF194" s="3">
        <v>9.31118269E-2</v>
      </c>
      <c r="AG194" s="3">
        <v>7.6111826899999999E-2</v>
      </c>
      <c r="AH194" s="3">
        <v>2.6111826899999999E-2</v>
      </c>
      <c r="AI194" s="3">
        <v>0.29844730759999999</v>
      </c>
      <c r="AJ194" s="6">
        <v>0.29433082719999998</v>
      </c>
      <c r="AK194" s="4">
        <v>27405.941429999999</v>
      </c>
      <c r="AL194" t="s">
        <v>70</v>
      </c>
      <c r="AM194" t="s">
        <v>217</v>
      </c>
      <c r="AN194" t="str">
        <f t="shared" si="5"/>
        <v>Moderate Economic Resilience with Good Affordability.</v>
      </c>
      <c r="AP194" t="s">
        <v>40</v>
      </c>
    </row>
    <row r="195" spans="1:42" x14ac:dyDescent="0.4">
      <c r="A195" t="str">
        <f t="shared" ref="A195:A258" si="6">_xlfn.CONCAT(UPPER(B195),"|",C195)</f>
        <v>CANADA|2020</v>
      </c>
      <c r="B195" s="1" t="s">
        <v>218</v>
      </c>
      <c r="C195" s="1">
        <v>2020</v>
      </c>
      <c r="D195" s="4">
        <v>84750000000000</v>
      </c>
      <c r="E195" s="3">
        <v>-3.3637400230000003E-2</v>
      </c>
      <c r="F195" s="2">
        <v>7890000000</v>
      </c>
      <c r="G195" s="3">
        <v>1.0243277849999999E-2</v>
      </c>
      <c r="H195" s="4">
        <v>1655685000000</v>
      </c>
      <c r="I195" s="3">
        <v>-5.0489612750000003E-2</v>
      </c>
      <c r="J195" s="2">
        <v>38028638</v>
      </c>
      <c r="K195" s="3">
        <v>1.09026956E-2</v>
      </c>
      <c r="L195" s="3">
        <v>1.9536106189999999E-2</v>
      </c>
      <c r="M195" s="4">
        <v>524572600000</v>
      </c>
      <c r="N195" s="4">
        <v>487990700000</v>
      </c>
      <c r="O195" s="4">
        <v>-36581900000</v>
      </c>
      <c r="P195" s="3">
        <v>-2.209472212E-2</v>
      </c>
      <c r="Q195" s="3">
        <v>0.74554407</v>
      </c>
      <c r="R195" s="3">
        <v>0.39713565699999998</v>
      </c>
      <c r="S195" s="4">
        <v>1234386133538</v>
      </c>
      <c r="T195" s="3">
        <v>2.5000000000000001E-3</v>
      </c>
      <c r="U195" s="4">
        <v>3085965334</v>
      </c>
      <c r="V195" s="3">
        <v>1.8638601749999999E-3</v>
      </c>
      <c r="W195" s="3">
        <v>7.1699999999999897E-3</v>
      </c>
      <c r="X195" s="4">
        <v>43537.846400000002</v>
      </c>
      <c r="Y195" s="4">
        <v>43225.680039999999</v>
      </c>
      <c r="Z195" s="6">
        <v>0.93</v>
      </c>
      <c r="AA195" s="3">
        <v>1.086956522E-2</v>
      </c>
      <c r="AB195" s="6">
        <v>0.29899999999999999</v>
      </c>
      <c r="AC195" s="3">
        <v>-6.0200668899999997E-2</v>
      </c>
      <c r="AD195" s="6">
        <v>0.63100000000000001</v>
      </c>
      <c r="AE195" s="3">
        <v>0.1070387652</v>
      </c>
      <c r="AF195" s="3">
        <v>9.7038765159999998E-2</v>
      </c>
      <c r="AG195" s="3">
        <v>8.0038765159999997E-2</v>
      </c>
      <c r="AH195" s="3">
        <v>3.0038765160000001E-2</v>
      </c>
      <c r="AI195" s="3">
        <v>0.31415506059999998</v>
      </c>
      <c r="AJ195" s="6">
        <v>0.30973258450000002</v>
      </c>
      <c r="AK195" s="4">
        <v>27275.404109999999</v>
      </c>
      <c r="AL195" t="s">
        <v>70</v>
      </c>
      <c r="AM195" t="s">
        <v>219</v>
      </c>
      <c r="AN195" t="str">
        <f t="shared" ref="AN195:AN258" si="7">_xlfn.CONCAT(_xlfn.IFS(
AJ195&gt;=0.7,"Superb",
AJ195&gt;=0.51,"Excellent",
AJ195&gt;=0.41,"Good",
AJ195&gt;=0.31,"Satisfactory",
AJ195&gt;=0.26,"Moderate",
AJ195&gt;=0.1,"Weak",
AJ195&lt;0.1,"Very Weak"
), " Economic Resilience with ",_xlfn.IFS(
AK195&lt;=2500,"Very Weak",
AK195&lt;=5000,"Poor",
AK195&lt;=10000,"Challenging",
AK195&lt;=12500,"Border Line",
AK195&lt;=15000,"Improved",
AK195&lt;=20000,"Moderate",
AK195&lt;=25000,"Satisfactory",
AK195&lt;=30000,"Good",
AK195&lt;=35000,"Very Good",
AK195&lt;=40000,"High",
AK195&lt;=50000,"Excellent",
AK195&lt;=100000,"Superb",
AK195&gt;100000,"Superb"
), " Affordability.")</f>
        <v>Moderate Economic Resilience with Good Affordability.</v>
      </c>
      <c r="AP195" t="s">
        <v>40</v>
      </c>
    </row>
    <row r="196" spans="1:42" x14ac:dyDescent="0.4">
      <c r="A196" t="str">
        <f t="shared" si="6"/>
        <v>CANADA|2021</v>
      </c>
      <c r="B196" s="1" t="s">
        <v>218</v>
      </c>
      <c r="C196" s="1">
        <v>2021</v>
      </c>
      <c r="D196" s="4">
        <v>96140000000000</v>
      </c>
      <c r="E196" s="3">
        <v>0.13439528019999999</v>
      </c>
      <c r="F196" s="2">
        <v>7950000000</v>
      </c>
      <c r="G196" s="3">
        <v>7.6045627380000001E-3</v>
      </c>
      <c r="H196" s="4">
        <v>2022379000000</v>
      </c>
      <c r="I196" s="3">
        <v>0.2214757034</v>
      </c>
      <c r="J196" s="2">
        <v>38239864</v>
      </c>
      <c r="K196" s="3">
        <v>5.554392981E-3</v>
      </c>
      <c r="L196" s="3">
        <v>2.1035770749999998E-2</v>
      </c>
      <c r="M196" s="4">
        <v>628388600000</v>
      </c>
      <c r="N196" s="4">
        <v>630478200000</v>
      </c>
      <c r="O196" s="4">
        <v>2089600000</v>
      </c>
      <c r="P196" s="3">
        <v>1.033238577E-3</v>
      </c>
      <c r="Q196" s="5">
        <v>0.68779570999999995</v>
      </c>
      <c r="R196" s="3">
        <v>-7.7458009960000004E-2</v>
      </c>
      <c r="S196" s="4">
        <v>1390983600194</v>
      </c>
      <c r="T196" s="3">
        <v>2.5000000000000001E-3</v>
      </c>
      <c r="U196" s="4">
        <v>3477459000</v>
      </c>
      <c r="V196" s="3">
        <v>1.719489275E-3</v>
      </c>
      <c r="W196" s="3">
        <v>3.3951929999999998E-2</v>
      </c>
      <c r="X196" s="4">
        <v>52886.66822</v>
      </c>
      <c r="Y196" s="4">
        <v>51091.063759999997</v>
      </c>
      <c r="Z196" s="6">
        <v>0.94</v>
      </c>
      <c r="AA196" s="3">
        <v>1.075268817E-2</v>
      </c>
      <c r="AB196" s="6">
        <v>0.311</v>
      </c>
      <c r="AC196" s="3">
        <v>3.8585209000000002E-2</v>
      </c>
      <c r="AD196" s="6">
        <v>0.629</v>
      </c>
      <c r="AE196" s="3">
        <v>0.1111723844</v>
      </c>
      <c r="AF196" s="3">
        <v>0.1011723844</v>
      </c>
      <c r="AG196" s="3">
        <v>8.4172384380000007E-2</v>
      </c>
      <c r="AH196" s="3">
        <v>3.4172384379999997E-2</v>
      </c>
      <c r="AI196" s="3">
        <v>0.33068953750000002</v>
      </c>
      <c r="AJ196" s="6">
        <v>0.35103905759999998</v>
      </c>
      <c r="AK196" s="4">
        <v>32136.2791</v>
      </c>
      <c r="AL196" t="s">
        <v>52</v>
      </c>
      <c r="AM196" t="s">
        <v>220</v>
      </c>
      <c r="AN196" t="str">
        <f t="shared" si="7"/>
        <v>Satisfactory Economic Resilience with Very Good Affordability.</v>
      </c>
      <c r="AP196" t="s">
        <v>40</v>
      </c>
    </row>
    <row r="197" spans="1:42" x14ac:dyDescent="0.4">
      <c r="A197" t="str">
        <f t="shared" si="6"/>
        <v>CANADA|2022</v>
      </c>
      <c r="B197" s="1" t="s">
        <v>218</v>
      </c>
      <c r="C197" s="1">
        <v>2022</v>
      </c>
      <c r="D197" s="4">
        <v>101560000000000</v>
      </c>
      <c r="E197" s="3">
        <v>5.6376118160000002E-2</v>
      </c>
      <c r="F197" s="2">
        <v>8020000000</v>
      </c>
      <c r="G197" s="3">
        <v>8.8050314469999991E-3</v>
      </c>
      <c r="H197" s="4">
        <v>2190411000000</v>
      </c>
      <c r="I197" s="3">
        <v>8.3086305779999994E-2</v>
      </c>
      <c r="J197" s="2">
        <v>38935934</v>
      </c>
      <c r="K197" s="3">
        <v>1.8202732100000001E-2</v>
      </c>
      <c r="L197" s="3">
        <v>2.1567654589999999E-2</v>
      </c>
      <c r="M197" s="4">
        <v>731037200000</v>
      </c>
      <c r="N197" s="4">
        <v>743495400000</v>
      </c>
      <c r="O197" s="4">
        <v>12458200000</v>
      </c>
      <c r="P197" s="3">
        <v>5.687608399E-3</v>
      </c>
      <c r="Q197" s="3">
        <v>0.59944017999999999</v>
      </c>
      <c r="R197" s="3">
        <v>-0.12846188010000001</v>
      </c>
      <c r="S197" s="4">
        <v>1313020364114</v>
      </c>
      <c r="T197" s="3">
        <v>0.01</v>
      </c>
      <c r="U197" s="4">
        <v>13130203641</v>
      </c>
      <c r="V197" s="3">
        <v>5.9944018000000002E-3</v>
      </c>
      <c r="W197" s="3">
        <v>6.802801E-2</v>
      </c>
      <c r="X197" s="4">
        <v>56256.798669999996</v>
      </c>
      <c r="Y197" s="4">
        <v>52429.760609999998</v>
      </c>
      <c r="Z197" s="6">
        <v>0.94</v>
      </c>
      <c r="AA197" s="3">
        <v>0</v>
      </c>
      <c r="AB197" s="6">
        <v>0.30049999999999999</v>
      </c>
      <c r="AC197" s="3">
        <v>-3.4941763729999999E-2</v>
      </c>
      <c r="AD197" s="6">
        <v>0.63949999999999996</v>
      </c>
      <c r="AE197" s="3">
        <v>0.1155235625</v>
      </c>
      <c r="AF197" s="3">
        <v>0.1055235625</v>
      </c>
      <c r="AG197" s="3">
        <v>8.85235625E-2</v>
      </c>
      <c r="AH197" s="3">
        <v>3.8523562499999997E-2</v>
      </c>
      <c r="AI197" s="3">
        <v>0.34809424999999999</v>
      </c>
      <c r="AJ197" s="6">
        <v>0.36935511119999997</v>
      </c>
      <c r="AK197" s="4">
        <v>33528.831910000001</v>
      </c>
      <c r="AL197" t="s">
        <v>52</v>
      </c>
      <c r="AM197" t="s">
        <v>221</v>
      </c>
      <c r="AN197" t="str">
        <f t="shared" si="7"/>
        <v>Satisfactory Economic Resilience with Very Good Affordability.</v>
      </c>
      <c r="AP197" t="s">
        <v>40</v>
      </c>
    </row>
    <row r="198" spans="1:42" x14ac:dyDescent="0.4">
      <c r="A198" t="str">
        <f t="shared" si="6"/>
        <v>CANADA|2023</v>
      </c>
      <c r="B198" s="1" t="s">
        <v>218</v>
      </c>
      <c r="C198" s="1">
        <v>2023</v>
      </c>
      <c r="D198" s="4">
        <v>106800000000000</v>
      </c>
      <c r="E198" s="3">
        <v>5.1595116189999998E-2</v>
      </c>
      <c r="F198" s="2">
        <v>8090000000</v>
      </c>
      <c r="G198" s="3">
        <v>8.7281795509999999E-3</v>
      </c>
      <c r="H198" s="4">
        <v>2173340000000</v>
      </c>
      <c r="I198" s="3">
        <v>-7.7935145500000001E-3</v>
      </c>
      <c r="J198" s="2">
        <v>40083484</v>
      </c>
      <c r="K198" s="3">
        <v>2.9472774430000001E-2</v>
      </c>
      <c r="L198" s="3">
        <v>2.034962547E-2</v>
      </c>
      <c r="M198" s="4">
        <v>723340800000</v>
      </c>
      <c r="N198" s="4">
        <v>724806100000</v>
      </c>
      <c r="O198" s="4">
        <v>1465300000</v>
      </c>
      <c r="P198" s="3">
        <v>6.7421572330000001E-4</v>
      </c>
      <c r="Q198" s="3">
        <v>0.62473131999999998</v>
      </c>
      <c r="R198" s="3">
        <v>4.219126586E-2</v>
      </c>
      <c r="S198" s="4">
        <v>1357753567009</v>
      </c>
      <c r="T198" s="3">
        <v>4.4999999999999998E-2</v>
      </c>
      <c r="U198" s="4">
        <v>61098910515</v>
      </c>
      <c r="V198" s="3">
        <v>2.81129094E-2</v>
      </c>
      <c r="W198" s="3">
        <v>3.8790020000000001E-2</v>
      </c>
      <c r="X198" s="4">
        <v>54220.336739999999</v>
      </c>
      <c r="Y198" s="4">
        <v>52117.128790000002</v>
      </c>
      <c r="Z198" s="6">
        <v>0.94</v>
      </c>
      <c r="AA198" s="3">
        <v>0</v>
      </c>
      <c r="AB198" s="6">
        <v>0.29525000000000001</v>
      </c>
      <c r="AC198" s="3">
        <v>-1.778154107E-2</v>
      </c>
      <c r="AD198" s="6">
        <v>0.64475000000000005</v>
      </c>
      <c r="AE198" s="3">
        <v>0.12010375</v>
      </c>
      <c r="AF198" s="3">
        <v>0.11010375</v>
      </c>
      <c r="AG198" s="3">
        <v>9.3103749999999999E-2</v>
      </c>
      <c r="AH198" s="3">
        <v>4.3103750000000003E-2</v>
      </c>
      <c r="AI198" s="3">
        <v>0.36641499999999999</v>
      </c>
      <c r="AJ198" s="6">
        <v>0.3593259318</v>
      </c>
      <c r="AK198" s="4">
        <v>33602.518790000002</v>
      </c>
      <c r="AL198" t="s">
        <v>52</v>
      </c>
      <c r="AM198" t="s">
        <v>73</v>
      </c>
      <c r="AN198" t="str">
        <f t="shared" si="7"/>
        <v>Satisfactory Economic Resilience with Very Good Affordability.</v>
      </c>
      <c r="AP198" t="s">
        <v>40</v>
      </c>
    </row>
    <row r="199" spans="1:42" x14ac:dyDescent="0.4">
      <c r="A199" t="str">
        <f t="shared" si="6"/>
        <v>CANADA|2024</v>
      </c>
      <c r="B199" s="1" t="s">
        <v>218</v>
      </c>
      <c r="C199" s="1">
        <v>2024</v>
      </c>
      <c r="D199" s="4">
        <v>112600000000000</v>
      </c>
      <c r="E199" s="3">
        <v>5.4307116099999997E-2</v>
      </c>
      <c r="F199" s="2">
        <v>8161972572</v>
      </c>
      <c r="G199" s="3">
        <v>8.8964860320000002E-3</v>
      </c>
      <c r="H199" s="4">
        <v>2243637000000</v>
      </c>
      <c r="I199" s="3">
        <v>3.2345146179999999E-2</v>
      </c>
      <c r="J199" s="2">
        <v>41288599</v>
      </c>
      <c r="K199" s="3">
        <v>3.0065126080000001E-2</v>
      </c>
      <c r="L199" s="3">
        <v>1.9925728239999999E-2</v>
      </c>
      <c r="M199" s="4">
        <v>733807200000</v>
      </c>
      <c r="N199" s="4">
        <v>727920500000</v>
      </c>
      <c r="O199" s="4">
        <v>-5886700000</v>
      </c>
      <c r="P199" s="3">
        <v>-2.6237310220000002E-3</v>
      </c>
      <c r="Q199" s="3">
        <v>0.64900307000000002</v>
      </c>
      <c r="R199" s="3">
        <v>3.885150179E-2</v>
      </c>
      <c r="S199" s="4">
        <v>1456127300966</v>
      </c>
      <c r="T199" s="3">
        <v>0.05</v>
      </c>
      <c r="U199" s="4">
        <v>72806365048</v>
      </c>
      <c r="V199" s="3">
        <v>3.2450153500000002E-2</v>
      </c>
      <c r="W199" s="3">
        <v>2.3815840000000001E-2</v>
      </c>
      <c r="X199" s="4">
        <v>54340.351920000001</v>
      </c>
      <c r="Y199" s="4">
        <v>53046.190790000001</v>
      </c>
      <c r="Z199" s="6">
        <v>0.94</v>
      </c>
      <c r="AA199" s="3">
        <v>0</v>
      </c>
      <c r="AB199" s="6">
        <v>0.29262500000000002</v>
      </c>
      <c r="AC199" s="3">
        <v>-8.9705254160000001E-3</v>
      </c>
      <c r="AD199" s="6">
        <v>0.64737500000000003</v>
      </c>
      <c r="AE199" s="3">
        <v>0.12492499999999999</v>
      </c>
      <c r="AF199" s="3">
        <v>0.114925</v>
      </c>
      <c r="AG199" s="3">
        <v>9.7924999999999998E-2</v>
      </c>
      <c r="AH199" s="3">
        <v>4.7925000000000002E-2</v>
      </c>
      <c r="AI199" s="3">
        <v>0.38569999999999999</v>
      </c>
      <c r="AJ199" s="6">
        <v>0.37055184369999999</v>
      </c>
      <c r="AK199" s="4">
        <v>34340.777770000001</v>
      </c>
      <c r="AL199" t="s">
        <v>52</v>
      </c>
      <c r="AM199" t="s">
        <v>221</v>
      </c>
      <c r="AN199" t="str">
        <f t="shared" si="7"/>
        <v>Satisfactory Economic Resilience with Very Good Affordability.</v>
      </c>
      <c r="AP199" t="s">
        <v>40</v>
      </c>
    </row>
    <row r="200" spans="1:42" x14ac:dyDescent="0.4">
      <c r="A200" t="str">
        <f t="shared" si="6"/>
        <v>CANADA|2025</v>
      </c>
      <c r="B200" s="1" t="s">
        <v>218</v>
      </c>
      <c r="C200" s="1">
        <v>2025</v>
      </c>
      <c r="D200" s="4">
        <v>113795678000000</v>
      </c>
      <c r="E200" s="3">
        <v>1.061880995E-2</v>
      </c>
      <c r="F200" s="2">
        <v>8231613070</v>
      </c>
      <c r="G200" s="3">
        <v>8.5323121809999999E-3</v>
      </c>
      <c r="H200" s="4">
        <v>2241253000000</v>
      </c>
      <c r="I200" s="3">
        <v>-1.062560477E-3</v>
      </c>
      <c r="J200" s="2">
        <v>42000000</v>
      </c>
      <c r="K200" s="3">
        <v>1.7229962200000001E-2</v>
      </c>
      <c r="L200" s="3">
        <v>1.9695414089999998E-2</v>
      </c>
      <c r="M200" s="4">
        <v>692500000000</v>
      </c>
      <c r="N200" s="4">
        <v>684500000000</v>
      </c>
      <c r="O200" s="4">
        <v>-8000000000</v>
      </c>
      <c r="P200" s="3">
        <v>-3.5694319199999999E-3</v>
      </c>
      <c r="Q200" s="3">
        <v>0.42000001780000001</v>
      </c>
      <c r="R200" s="3">
        <v>-0.35285357299999998</v>
      </c>
      <c r="S200" s="4">
        <v>941326300000</v>
      </c>
      <c r="T200" s="3">
        <v>2.75E-2</v>
      </c>
      <c r="U200" s="4">
        <v>25886473250</v>
      </c>
      <c r="V200" s="3">
        <v>1.155000049E-2</v>
      </c>
      <c r="W200" s="3">
        <v>1.7000000000000001E-2</v>
      </c>
      <c r="X200" s="4">
        <v>53363.166669999999</v>
      </c>
      <c r="Y200" s="4">
        <v>52455.992830000003</v>
      </c>
      <c r="Z200" s="6">
        <v>0.93899999999999995</v>
      </c>
      <c r="AA200" s="3">
        <v>-1.063829787E-3</v>
      </c>
      <c r="AB200" s="6">
        <v>0.28999999999999998</v>
      </c>
      <c r="AC200" s="3">
        <v>-9.0517241379999992E-3</v>
      </c>
      <c r="AD200" s="6">
        <v>0.64900000000000002</v>
      </c>
      <c r="AE200" s="3">
        <v>0.13</v>
      </c>
      <c r="AF200" s="3">
        <v>0.12</v>
      </c>
      <c r="AG200" s="3">
        <v>0.10299999999999999</v>
      </c>
      <c r="AH200" s="3">
        <v>5.2999999999999999E-2</v>
      </c>
      <c r="AI200" s="3">
        <v>0.40600000000000003</v>
      </c>
      <c r="AJ200" s="6">
        <v>0.41057598169999998</v>
      </c>
      <c r="AK200" s="4">
        <v>34043.939350000001</v>
      </c>
      <c r="AL200" t="s">
        <v>52</v>
      </c>
      <c r="AM200" t="s">
        <v>222</v>
      </c>
      <c r="AN200" t="str">
        <f t="shared" si="7"/>
        <v>Good Economic Resilience with Very Good Affordability.</v>
      </c>
      <c r="AO200" t="s">
        <v>323</v>
      </c>
      <c r="AP200" t="s">
        <v>40</v>
      </c>
    </row>
    <row r="201" spans="1:42" x14ac:dyDescent="0.4">
      <c r="A201" t="str">
        <f t="shared" si="6"/>
        <v>CANADA|2026</v>
      </c>
      <c r="B201" s="1" t="s">
        <v>218</v>
      </c>
      <c r="C201" s="1">
        <v>2026</v>
      </c>
      <c r="D201" s="4">
        <v>120063810405112</v>
      </c>
      <c r="E201" s="3">
        <v>5.5082341569999999E-2</v>
      </c>
      <c r="F201" s="2">
        <v>8302201675</v>
      </c>
      <c r="G201" s="3">
        <v>8.575306441E-3</v>
      </c>
      <c r="H201" s="4">
        <v>2393172598851</v>
      </c>
      <c r="I201" s="3">
        <v>6.7783333180000002E-2</v>
      </c>
      <c r="J201" s="2">
        <v>42654501.960000001</v>
      </c>
      <c r="K201" s="3">
        <v>1.5583380080000001E-2</v>
      </c>
      <c r="L201" s="3">
        <v>1.9932505810000001E-2</v>
      </c>
      <c r="M201" s="4">
        <v>777879200000</v>
      </c>
      <c r="N201" s="4">
        <v>785513457143</v>
      </c>
      <c r="O201" s="4">
        <v>7634257143</v>
      </c>
      <c r="P201" s="3">
        <v>3.1900152739999998E-3</v>
      </c>
      <c r="Q201" s="3">
        <v>0.46883072040000001</v>
      </c>
      <c r="R201" s="3">
        <v>0.1162635726</v>
      </c>
      <c r="S201" s="4">
        <v>1121992833603</v>
      </c>
      <c r="T201" s="3">
        <v>4.6071428570000003E-2</v>
      </c>
      <c r="U201" s="4">
        <v>51691812691</v>
      </c>
      <c r="V201" s="3">
        <v>2.159970105E-2</v>
      </c>
      <c r="W201" s="3">
        <v>3.4128598570000002E-2</v>
      </c>
      <c r="X201" s="4">
        <v>56105.979169999999</v>
      </c>
      <c r="Y201" s="4">
        <v>54191.160730000003</v>
      </c>
      <c r="Z201" s="6">
        <v>0.94439441089999998</v>
      </c>
      <c r="AA201" s="3">
        <v>5.7448465739999999E-3</v>
      </c>
      <c r="AB201" s="6">
        <v>0.28533044219999998</v>
      </c>
      <c r="AC201" s="3">
        <v>-1.636543864E-2</v>
      </c>
      <c r="AD201" s="6">
        <v>0.65906396879999996</v>
      </c>
      <c r="AE201" s="3">
        <v>0.135075</v>
      </c>
      <c r="AF201" s="3">
        <v>0.12507499999999999</v>
      </c>
      <c r="AG201" s="3">
        <v>0.108075</v>
      </c>
      <c r="AH201" s="3">
        <v>5.8075000000000002E-2</v>
      </c>
      <c r="AI201" s="3">
        <v>0.42630000000000001</v>
      </c>
      <c r="AJ201" s="6">
        <v>0.42782281999999999</v>
      </c>
      <c r="AK201" s="4">
        <v>35715.441469999998</v>
      </c>
      <c r="AL201" t="s">
        <v>55</v>
      </c>
      <c r="AM201" t="s">
        <v>223</v>
      </c>
      <c r="AN201" t="str">
        <f t="shared" si="7"/>
        <v>Good Economic Resilience with High Affordability.</v>
      </c>
      <c r="AP201" t="s">
        <v>40</v>
      </c>
    </row>
    <row r="202" spans="1:42" x14ac:dyDescent="0.4">
      <c r="A202" t="str">
        <f t="shared" si="6"/>
        <v>CANADA|2027</v>
      </c>
      <c r="B202" s="1" t="s">
        <v>218</v>
      </c>
      <c r="C202" s="1">
        <v>2027</v>
      </c>
      <c r="D202" s="4">
        <v>125735541889780</v>
      </c>
      <c r="E202" s="3">
        <v>4.7239309379999997E-2</v>
      </c>
      <c r="F202" s="2">
        <v>8372937901</v>
      </c>
      <c r="G202" s="3">
        <v>8.5201768609999996E-3</v>
      </c>
      <c r="H202" s="4">
        <v>2514613125164</v>
      </c>
      <c r="I202" s="3">
        <v>5.0744574950000003E-2</v>
      </c>
      <c r="J202" s="2">
        <v>43394172.43</v>
      </c>
      <c r="K202" s="3">
        <v>1.7340970649999999E-2</v>
      </c>
      <c r="L202" s="3">
        <v>1.999922287E-2</v>
      </c>
      <c r="M202" s="4">
        <v>807229246429</v>
      </c>
      <c r="N202" s="4">
        <v>818915642857</v>
      </c>
      <c r="O202" s="4">
        <v>11686396429</v>
      </c>
      <c r="P202" s="3">
        <v>4.6473933950000003E-3</v>
      </c>
      <c r="Q202" s="3">
        <v>0.47298227240000001</v>
      </c>
      <c r="R202" s="3">
        <v>8.8551192659999996E-3</v>
      </c>
      <c r="S202" s="4">
        <v>1189367430054</v>
      </c>
      <c r="T202" s="3">
        <v>5.2053571430000001E-2</v>
      </c>
      <c r="U202" s="4">
        <v>61910822475</v>
      </c>
      <c r="V202" s="3">
        <v>2.4620416499999999E-2</v>
      </c>
      <c r="W202" s="3">
        <v>3.5223302140000003E-2</v>
      </c>
      <c r="X202" s="4">
        <v>57948.175629999998</v>
      </c>
      <c r="Y202" s="4">
        <v>55907.049529999997</v>
      </c>
      <c r="Z202" s="6">
        <v>0.94808799830000001</v>
      </c>
      <c r="AA202" s="3">
        <v>3.9110644030000002E-3</v>
      </c>
      <c r="AB202" s="6">
        <v>0.28110779829999999</v>
      </c>
      <c r="AC202" s="3">
        <v>-1.5021439859999999E-2</v>
      </c>
      <c r="AD202" s="6">
        <v>0.66698020000000002</v>
      </c>
      <c r="AE202" s="3">
        <v>0.14040374999999999</v>
      </c>
      <c r="AF202" s="3">
        <v>0.13040375000000001</v>
      </c>
      <c r="AG202" s="3">
        <v>0.11340375</v>
      </c>
      <c r="AH202" s="3">
        <v>6.3403749999999995E-2</v>
      </c>
      <c r="AI202" s="3">
        <v>0.44761499999999999</v>
      </c>
      <c r="AJ202" s="6">
        <v>0.4476411998</v>
      </c>
      <c r="AK202" s="4">
        <v>37288.895080000002</v>
      </c>
      <c r="AL202" t="s">
        <v>55</v>
      </c>
      <c r="AM202" t="s">
        <v>224</v>
      </c>
      <c r="AN202" t="str">
        <f t="shared" si="7"/>
        <v>Good Economic Resilience with High Affordability.</v>
      </c>
      <c r="AP202" t="s">
        <v>40</v>
      </c>
    </row>
    <row r="203" spans="1:42" x14ac:dyDescent="0.4">
      <c r="A203" t="str">
        <f t="shared" si="6"/>
        <v>CANADA|2028</v>
      </c>
      <c r="B203" s="1" t="s">
        <v>218</v>
      </c>
      <c r="C203" s="1">
        <v>2028</v>
      </c>
      <c r="D203" s="4">
        <v>131237442252096</v>
      </c>
      <c r="E203" s="3">
        <v>4.375771782E-2</v>
      </c>
      <c r="F203" s="2">
        <v>8443822776</v>
      </c>
      <c r="G203" s="3">
        <v>8.465950178E-3</v>
      </c>
      <c r="H203" s="4">
        <v>2626138267178</v>
      </c>
      <c r="I203" s="3">
        <v>4.4350815199999997E-2</v>
      </c>
      <c r="J203" s="2">
        <v>44165456.159999996</v>
      </c>
      <c r="K203" s="3">
        <v>1.7773901160000001E-2</v>
      </c>
      <c r="L203" s="3">
        <v>2.001058709E-2</v>
      </c>
      <c r="M203" s="4">
        <v>836579292857</v>
      </c>
      <c r="N203" s="4">
        <v>852317828571</v>
      </c>
      <c r="O203" s="4">
        <v>15738535714</v>
      </c>
      <c r="P203" s="3">
        <v>5.9930339199999998E-3</v>
      </c>
      <c r="Q203" s="3">
        <v>0.46185738790000003</v>
      </c>
      <c r="R203" s="3">
        <v>-2.3520721759999998E-2</v>
      </c>
      <c r="S203" s="4">
        <v>1212901360440</v>
      </c>
      <c r="T203" s="3">
        <v>5.8035714289999998E-2</v>
      </c>
      <c r="U203" s="4">
        <v>70391596811</v>
      </c>
      <c r="V203" s="3">
        <v>2.6804223410000001E-2</v>
      </c>
      <c r="W203" s="3">
        <v>3.6318005709999997E-2</v>
      </c>
      <c r="X203" s="4">
        <v>59461.364049999996</v>
      </c>
      <c r="Y203" s="4">
        <v>57301.845889999997</v>
      </c>
      <c r="Z203" s="6">
        <v>0.95120291069999996</v>
      </c>
      <c r="AA203" s="3">
        <v>3.2854675900000001E-3</v>
      </c>
      <c r="AB203" s="6">
        <v>0.2770449586</v>
      </c>
      <c r="AC203" s="3">
        <v>-1.4664911060000001E-2</v>
      </c>
      <c r="AD203" s="6">
        <v>0.67415795209999996</v>
      </c>
      <c r="AE203" s="3">
        <v>0.14599893750000001</v>
      </c>
      <c r="AF203" s="3">
        <v>0.1359989375</v>
      </c>
      <c r="AG203" s="3">
        <v>0.1189989375</v>
      </c>
      <c r="AH203" s="3">
        <v>6.8998937499999996E-2</v>
      </c>
      <c r="AI203" s="3">
        <v>0.46999574999999999</v>
      </c>
      <c r="AJ203" s="6">
        <v>0.46919514759999997</v>
      </c>
      <c r="AK203" s="4">
        <v>38630.495080000001</v>
      </c>
      <c r="AL203" t="s">
        <v>55</v>
      </c>
      <c r="AM203" t="s">
        <v>225</v>
      </c>
      <c r="AN203" t="str">
        <f t="shared" si="7"/>
        <v>Good Economic Resilience with High Affordability.</v>
      </c>
      <c r="AP203" t="s">
        <v>40</v>
      </c>
    </row>
    <row r="204" spans="1:42" x14ac:dyDescent="0.4">
      <c r="A204" t="str">
        <f t="shared" si="6"/>
        <v>CANADA|2029</v>
      </c>
      <c r="B204" s="1" t="s">
        <v>218</v>
      </c>
      <c r="C204" s="1">
        <v>2029</v>
      </c>
      <c r="D204" s="4">
        <v>136712479650225</v>
      </c>
      <c r="E204" s="3">
        <v>4.1718562200000003E-2</v>
      </c>
      <c r="F204" s="2">
        <v>8514849364</v>
      </c>
      <c r="G204" s="3">
        <v>8.4116624760000001E-3</v>
      </c>
      <c r="H204" s="4">
        <v>2734729001054</v>
      </c>
      <c r="I204" s="3">
        <v>4.1349968209999997E-2</v>
      </c>
      <c r="J204" s="2">
        <v>44950181.649999999</v>
      </c>
      <c r="K204" s="3">
        <v>1.7767856549999999E-2</v>
      </c>
      <c r="L204" s="3">
        <v>2.0003506689999999E-2</v>
      </c>
      <c r="M204" s="4">
        <v>865929339286</v>
      </c>
      <c r="N204" s="4">
        <v>884242994742</v>
      </c>
      <c r="O204" s="4">
        <v>18313655456</v>
      </c>
      <c r="P204" s="3">
        <v>6.696698448E-3</v>
      </c>
      <c r="Q204" s="3">
        <v>0.44527968559999997</v>
      </c>
      <c r="R204" s="3">
        <v>-3.5893552279999998E-2</v>
      </c>
      <c r="S204" s="4">
        <v>1217719269886</v>
      </c>
      <c r="T204" s="3">
        <v>6.4017857139999995E-2</v>
      </c>
      <c r="U204" s="4">
        <v>77955778260</v>
      </c>
      <c r="V204" s="3">
        <v>2.8505851299999999E-2</v>
      </c>
      <c r="W204" s="3">
        <v>3.7412709289999999E-2</v>
      </c>
      <c r="X204" s="4">
        <v>60839.108999999997</v>
      </c>
      <c r="Y204" s="4">
        <v>58562.953099999999</v>
      </c>
      <c r="Z204" s="6">
        <v>0.95411290920000003</v>
      </c>
      <c r="AA204" s="3">
        <v>3.0592825709999999E-3</v>
      </c>
      <c r="AB204" s="6">
        <v>0.27304646469999999</v>
      </c>
      <c r="AC204" s="3">
        <v>-1.4644005329999999E-2</v>
      </c>
      <c r="AD204" s="6">
        <v>0.68106644449999998</v>
      </c>
      <c r="AE204" s="3">
        <v>0.15187388439999999</v>
      </c>
      <c r="AF204" s="3">
        <v>0.14187388440000001</v>
      </c>
      <c r="AG204" s="3">
        <v>0.1248738844</v>
      </c>
      <c r="AH204" s="3">
        <v>7.4873884380000005E-2</v>
      </c>
      <c r="AI204" s="3">
        <v>0.49349553750000003</v>
      </c>
      <c r="AJ204" s="6">
        <v>0.49168989130000001</v>
      </c>
      <c r="AK204" s="4">
        <v>39885.26225</v>
      </c>
      <c r="AL204" t="s">
        <v>55</v>
      </c>
      <c r="AM204" t="s">
        <v>226</v>
      </c>
      <c r="AN204" t="str">
        <f t="shared" si="7"/>
        <v>Good Economic Resilience with High Affordability.</v>
      </c>
      <c r="AP204" t="s">
        <v>40</v>
      </c>
    </row>
    <row r="205" spans="1:42" x14ac:dyDescent="0.4">
      <c r="A205" t="str">
        <f t="shared" si="6"/>
        <v>CANADA|2030</v>
      </c>
      <c r="B205" s="1" t="s">
        <v>218</v>
      </c>
      <c r="C205" s="1">
        <v>2030</v>
      </c>
      <c r="D205" s="4">
        <v>141834754671550</v>
      </c>
      <c r="E205" s="3"/>
      <c r="F205" s="2">
        <v>8586617399</v>
      </c>
      <c r="G205" s="3"/>
      <c r="H205" s="4">
        <v>2802774569730</v>
      </c>
      <c r="I205" s="3"/>
      <c r="J205" s="2">
        <v>45912027.159999996</v>
      </c>
      <c r="K205" s="3"/>
      <c r="L205" s="3">
        <v>1.9760844770000001E-2</v>
      </c>
      <c r="M205" s="4">
        <v>895279385714</v>
      </c>
      <c r="N205" s="4">
        <v>910504333377</v>
      </c>
      <c r="O205" s="4">
        <v>15224947663</v>
      </c>
      <c r="P205" s="3">
        <v>5.4320985449999998E-3</v>
      </c>
      <c r="Q205" s="3">
        <v>0.42671625619999998</v>
      </c>
      <c r="R205" s="3"/>
      <c r="S205" s="4">
        <v>1195989471278</v>
      </c>
      <c r="T205" s="3">
        <v>7.0000000000000007E-2</v>
      </c>
      <c r="U205" s="4">
        <v>83719262989</v>
      </c>
      <c r="V205" s="3">
        <v>2.9870137929999999E-2</v>
      </c>
      <c r="W205" s="3">
        <v>3.850741286E-2</v>
      </c>
      <c r="X205" s="4">
        <v>61046.63076</v>
      </c>
      <c r="Y205" s="4">
        <v>58695.882949999999</v>
      </c>
      <c r="Z205" s="6">
        <v>0.95694851260000002</v>
      </c>
      <c r="AA205" s="3"/>
      <c r="AB205" s="6">
        <v>0.26907876609999998</v>
      </c>
      <c r="AC205" s="3"/>
      <c r="AD205" s="6">
        <v>0.68786974649999999</v>
      </c>
      <c r="AE205" s="3">
        <v>0.15804257860000001</v>
      </c>
      <c r="AF205" s="3">
        <v>0.1480425786</v>
      </c>
      <c r="AG205" s="3">
        <v>0.13104257859999999</v>
      </c>
      <c r="AH205" s="3">
        <v>8.1042578589999997E-2</v>
      </c>
      <c r="AI205" s="3">
        <v>0.51817031440000005</v>
      </c>
      <c r="AJ205" s="6">
        <v>0.51349311980000001</v>
      </c>
      <c r="AK205" s="4">
        <v>40375.12212</v>
      </c>
      <c r="AL205" t="s">
        <v>58</v>
      </c>
      <c r="AM205" t="s">
        <v>227</v>
      </c>
      <c r="AN205" t="str">
        <f t="shared" si="7"/>
        <v>Excellent Economic Resilience with Excellent Affordability.</v>
      </c>
      <c r="AP205" t="s">
        <v>40</v>
      </c>
    </row>
    <row r="206" spans="1:42" x14ac:dyDescent="0.4">
      <c r="A206" t="str">
        <f t="shared" si="6"/>
        <v>AUSTRALIA|2019</v>
      </c>
      <c r="B206" s="1" t="s">
        <v>229</v>
      </c>
      <c r="C206" s="1">
        <v>2019</v>
      </c>
      <c r="D206" s="4">
        <v>87700000000000</v>
      </c>
      <c r="E206" s="3"/>
      <c r="F206" s="2">
        <v>7810000000</v>
      </c>
      <c r="G206" s="3"/>
      <c r="H206" s="4">
        <v>1398350000000</v>
      </c>
      <c r="I206" s="3"/>
      <c r="J206" s="2">
        <v>25334826</v>
      </c>
      <c r="K206" s="3"/>
      <c r="L206" s="3">
        <v>1.594469783E-2</v>
      </c>
      <c r="M206" s="4">
        <v>306786800000</v>
      </c>
      <c r="N206" s="4">
        <v>336477600000</v>
      </c>
      <c r="O206" s="4">
        <v>29690800000</v>
      </c>
      <c r="P206" s="3">
        <v>2.123273858E-2</v>
      </c>
      <c r="Q206" s="3">
        <v>0.59983787</v>
      </c>
      <c r="R206" s="3"/>
      <c r="S206" s="4">
        <v>838783285515</v>
      </c>
      <c r="T206" s="3">
        <v>1.5698230000000001E-2</v>
      </c>
      <c r="U206" s="4">
        <v>13167412936</v>
      </c>
      <c r="V206" s="3">
        <v>9.4163928460000001E-3</v>
      </c>
      <c r="W206" s="3">
        <v>1.6107679999999999E-2</v>
      </c>
      <c r="X206" s="4">
        <v>55194.77418</v>
      </c>
      <c r="Y206" s="4">
        <v>54305.714419999997</v>
      </c>
      <c r="Z206" s="6">
        <v>0.94</v>
      </c>
      <c r="AA206" s="3"/>
      <c r="AB206" s="7">
        <v>0.33799999999999902</v>
      </c>
      <c r="AC206" s="3"/>
      <c r="AD206" s="6">
        <v>0.60199999999999998</v>
      </c>
      <c r="AE206" s="3">
        <v>5.2078853949999997E-2</v>
      </c>
      <c r="AF206" s="3">
        <v>7.7078853949999998E-2</v>
      </c>
      <c r="AG206" s="3">
        <v>7.8078853949999999E-2</v>
      </c>
      <c r="AH206" s="3">
        <v>3.6078853950000003E-2</v>
      </c>
      <c r="AI206" s="3">
        <v>0.24331541579999999</v>
      </c>
      <c r="AJ206" s="6">
        <v>0.27107645940000002</v>
      </c>
      <c r="AK206" s="4">
        <v>32692.040079999999</v>
      </c>
      <c r="AL206" t="s">
        <v>52</v>
      </c>
      <c r="AM206" t="s">
        <v>228</v>
      </c>
      <c r="AN206" t="str">
        <f t="shared" si="7"/>
        <v>Moderate Economic Resilience with Very Good Affordability.</v>
      </c>
      <c r="AP206" t="s">
        <v>40</v>
      </c>
    </row>
    <row r="207" spans="1:42" x14ac:dyDescent="0.4">
      <c r="A207" t="str">
        <f t="shared" si="6"/>
        <v>AUSTRALIA|2020</v>
      </c>
      <c r="B207" s="1" t="s">
        <v>229</v>
      </c>
      <c r="C207" s="1">
        <v>2020</v>
      </c>
      <c r="D207" s="4">
        <v>84750000000000</v>
      </c>
      <c r="E207" s="3">
        <v>-3.3637400230000003E-2</v>
      </c>
      <c r="F207" s="2">
        <v>7890000000</v>
      </c>
      <c r="G207" s="3">
        <v>1.0243277849999999E-2</v>
      </c>
      <c r="H207" s="4">
        <v>1333336000000</v>
      </c>
      <c r="I207" s="3">
        <v>-4.6493367180000002E-2</v>
      </c>
      <c r="J207" s="2">
        <v>25649248</v>
      </c>
      <c r="K207" s="3">
        <v>1.241066349E-2</v>
      </c>
      <c r="L207" s="3">
        <v>1.5732578170000001E-2</v>
      </c>
      <c r="M207" s="4">
        <v>274154300000</v>
      </c>
      <c r="N207" s="4">
        <v>319174600000</v>
      </c>
      <c r="O207" s="4">
        <v>45020300000</v>
      </c>
      <c r="P207" s="3">
        <v>3.3765157470000001E-2</v>
      </c>
      <c r="Q207" s="3">
        <v>0.69065653999999999</v>
      </c>
      <c r="R207" s="3">
        <v>0.15140536230000001</v>
      </c>
      <c r="S207" s="4">
        <v>920877228417</v>
      </c>
      <c r="T207" s="3">
        <v>2.7099115E-2</v>
      </c>
      <c r="U207" s="4">
        <v>24954957914</v>
      </c>
      <c r="V207" s="3">
        <v>1.8716180999999998E-2</v>
      </c>
      <c r="W207" s="3">
        <v>8.4690600000000005E-3</v>
      </c>
      <c r="X207" s="4">
        <v>51983.434370000003</v>
      </c>
      <c r="Y207" s="4">
        <v>51543.183539999998</v>
      </c>
      <c r="Z207" s="6">
        <v>0.94</v>
      </c>
      <c r="AA207" s="3">
        <v>0</v>
      </c>
      <c r="AB207" s="7">
        <v>0.33799999999999902</v>
      </c>
      <c r="AC207" s="3">
        <v>0</v>
      </c>
      <c r="AD207" s="6">
        <v>0.60199999999999998</v>
      </c>
      <c r="AE207" s="3">
        <v>5.5280372580000001E-2</v>
      </c>
      <c r="AF207" s="3">
        <v>8.0280372579999995E-2</v>
      </c>
      <c r="AG207" s="3">
        <v>8.1280372579999996E-2</v>
      </c>
      <c r="AH207" s="3">
        <v>3.928037258E-2</v>
      </c>
      <c r="AI207" s="3">
        <v>0.25612149029999998</v>
      </c>
      <c r="AJ207" s="6">
        <v>0.28690304500000002</v>
      </c>
      <c r="AK207" s="4">
        <v>31028.996490000001</v>
      </c>
      <c r="AL207" t="s">
        <v>52</v>
      </c>
      <c r="AM207" t="s">
        <v>230</v>
      </c>
      <c r="AN207" t="str">
        <f t="shared" si="7"/>
        <v>Moderate Economic Resilience with Very Good Affordability.</v>
      </c>
      <c r="AP207" t="s">
        <v>40</v>
      </c>
    </row>
    <row r="208" spans="1:42" x14ac:dyDescent="0.4">
      <c r="A208" t="str">
        <f t="shared" si="6"/>
        <v>AUSTRALIA|2021</v>
      </c>
      <c r="B208" s="1" t="s">
        <v>229</v>
      </c>
      <c r="C208" s="1">
        <v>2021</v>
      </c>
      <c r="D208" s="4">
        <v>96140000000000</v>
      </c>
      <c r="E208" s="3">
        <v>0.13439528019999999</v>
      </c>
      <c r="F208" s="2">
        <v>7950000000</v>
      </c>
      <c r="G208" s="3">
        <v>7.6045627380000001E-3</v>
      </c>
      <c r="H208" s="4">
        <v>1560617000000</v>
      </c>
      <c r="I208" s="3">
        <v>0.17046040909999999</v>
      </c>
      <c r="J208" s="2">
        <v>25685412</v>
      </c>
      <c r="K208" s="3">
        <v>1.4099438700000001E-3</v>
      </c>
      <c r="L208" s="3">
        <v>1.6232754320000001E-2</v>
      </c>
      <c r="M208" s="4">
        <v>284039000000</v>
      </c>
      <c r="N208" s="4">
        <v>343364200000</v>
      </c>
      <c r="O208" s="4">
        <v>59325200000</v>
      </c>
      <c r="P208" s="3">
        <v>3.8013939359999999E-2</v>
      </c>
      <c r="Q208" s="3">
        <v>0.69836774000000001</v>
      </c>
      <c r="R208" s="3">
        <v>1.1165028570000001E-2</v>
      </c>
      <c r="S208" s="4">
        <v>1089884567296</v>
      </c>
      <c r="T208" s="3">
        <v>3.27995575E-2</v>
      </c>
      <c r="U208" s="4">
        <v>35747731533</v>
      </c>
      <c r="V208" s="3">
        <v>2.2906152839999999E-2</v>
      </c>
      <c r="W208" s="3">
        <v>2.8639100000000001E-2</v>
      </c>
      <c r="X208" s="4">
        <v>60758.885240000003</v>
      </c>
      <c r="Y208" s="4">
        <v>59018.80545</v>
      </c>
      <c r="Z208" s="6">
        <v>0.95</v>
      </c>
      <c r="AA208" s="3">
        <v>1.0638297870000001E-2</v>
      </c>
      <c r="AB208" s="6">
        <v>0.33100000000000002</v>
      </c>
      <c r="AC208" s="3">
        <v>-2.1148036249999998E-2</v>
      </c>
      <c r="AD208" s="6">
        <v>0.61899999999999999</v>
      </c>
      <c r="AE208" s="3">
        <v>5.8650392189999997E-2</v>
      </c>
      <c r="AF208" s="3">
        <v>8.3650392190000006E-2</v>
      </c>
      <c r="AG208" s="3">
        <v>8.4650392190000007E-2</v>
      </c>
      <c r="AH208" s="3">
        <v>4.2650392189999997E-2</v>
      </c>
      <c r="AI208" s="3">
        <v>0.26960156880000002</v>
      </c>
      <c r="AJ208" s="6">
        <v>0.30094210960000001</v>
      </c>
      <c r="AK208" s="4">
        <v>36532.640570000003</v>
      </c>
      <c r="AL208" t="s">
        <v>55</v>
      </c>
      <c r="AM208" t="s">
        <v>231</v>
      </c>
      <c r="AN208" t="str">
        <f t="shared" si="7"/>
        <v>Moderate Economic Resilience with High Affordability.</v>
      </c>
      <c r="AP208" t="s">
        <v>40</v>
      </c>
    </row>
    <row r="209" spans="1:42" x14ac:dyDescent="0.4">
      <c r="A209" t="str">
        <f t="shared" si="6"/>
        <v>AUSTRALIA|2022</v>
      </c>
      <c r="B209" s="1" t="s">
        <v>229</v>
      </c>
      <c r="C209" s="1">
        <v>2022</v>
      </c>
      <c r="D209" s="4">
        <v>101560000000000</v>
      </c>
      <c r="E209" s="3">
        <v>5.6376118160000002E-2</v>
      </c>
      <c r="F209" s="2">
        <v>8020000000</v>
      </c>
      <c r="G209" s="3">
        <v>8.8050314469999991E-3</v>
      </c>
      <c r="H209" s="4">
        <v>1695628000000</v>
      </c>
      <c r="I209" s="3">
        <v>8.651129649E-2</v>
      </c>
      <c r="J209" s="2">
        <v>26018721</v>
      </c>
      <c r="K209" s="3">
        <v>1.297658764E-2</v>
      </c>
      <c r="L209" s="3">
        <v>1.6695825130000001E-2</v>
      </c>
      <c r="M209" s="4">
        <v>343078200000</v>
      </c>
      <c r="N209" s="4">
        <v>431732700000</v>
      </c>
      <c r="O209" s="4">
        <v>88654500000</v>
      </c>
      <c r="P209" s="3">
        <v>5.2284168460000002E-2</v>
      </c>
      <c r="Q209" s="3">
        <v>0.57883428999999997</v>
      </c>
      <c r="R209" s="3">
        <v>-0.1711611851</v>
      </c>
      <c r="S209" s="4">
        <v>981487629484</v>
      </c>
      <c r="T209" s="3">
        <v>3.564977875E-2</v>
      </c>
      <c r="U209" s="4">
        <v>34989816837</v>
      </c>
      <c r="V209" s="3">
        <v>2.0635314370000001E-2</v>
      </c>
      <c r="W209" s="3">
        <v>6.5940970000000002E-2</v>
      </c>
      <c r="X209" s="4">
        <v>65169.536970000001</v>
      </c>
      <c r="Y209" s="4">
        <v>60872.194479999998</v>
      </c>
      <c r="Z209" s="6">
        <v>0.95</v>
      </c>
      <c r="AA209" s="3">
        <v>0</v>
      </c>
      <c r="AB209" s="6">
        <v>0.32750000000000001</v>
      </c>
      <c r="AC209" s="3">
        <v>-1.0687022900000001E-2</v>
      </c>
      <c r="AD209" s="6">
        <v>0.62250000000000005</v>
      </c>
      <c r="AE209" s="3">
        <v>6.219778125E-2</v>
      </c>
      <c r="AF209" s="3">
        <v>8.7197781249999995E-2</v>
      </c>
      <c r="AG209" s="3">
        <v>8.8197781249999996E-2</v>
      </c>
      <c r="AH209" s="3">
        <v>4.619778125E-2</v>
      </c>
      <c r="AI209" s="3">
        <v>0.28379112499999998</v>
      </c>
      <c r="AJ209" s="6">
        <v>0.3321358042</v>
      </c>
      <c r="AK209" s="4">
        <v>37892.941070000001</v>
      </c>
      <c r="AL209" t="s">
        <v>55</v>
      </c>
      <c r="AM209" t="s">
        <v>232</v>
      </c>
      <c r="AN209" t="str">
        <f t="shared" si="7"/>
        <v>Satisfactory Economic Resilience with High Affordability.</v>
      </c>
      <c r="AP209" t="s">
        <v>40</v>
      </c>
    </row>
    <row r="210" spans="1:42" x14ac:dyDescent="0.4">
      <c r="A210" t="str">
        <f t="shared" si="6"/>
        <v>AUSTRALIA|2023</v>
      </c>
      <c r="B210" s="1" t="s">
        <v>229</v>
      </c>
      <c r="C210" s="1">
        <v>2023</v>
      </c>
      <c r="D210" s="4">
        <v>106800000000000</v>
      </c>
      <c r="E210" s="3">
        <v>5.1595116189999998E-2</v>
      </c>
      <c r="F210" s="2">
        <v>8090000000</v>
      </c>
      <c r="G210" s="3">
        <v>8.7281795509999999E-3</v>
      </c>
      <c r="H210" s="4">
        <v>1734451000000</v>
      </c>
      <c r="I210" s="3">
        <v>2.28959418E-2</v>
      </c>
      <c r="J210" s="2">
        <v>26659922</v>
      </c>
      <c r="K210" s="3">
        <v>2.4643832420000001E-2</v>
      </c>
      <c r="L210" s="3">
        <v>1.62401779E-2</v>
      </c>
      <c r="M210" s="4">
        <v>387533100000</v>
      </c>
      <c r="N210" s="4">
        <v>463117000000</v>
      </c>
      <c r="O210" s="4">
        <v>75583900000</v>
      </c>
      <c r="P210" s="3">
        <v>4.3577996729999999E-2</v>
      </c>
      <c r="Q210" s="3">
        <v>0.53591714499999998</v>
      </c>
      <c r="R210" s="3">
        <v>-7.4144095709999996E-2</v>
      </c>
      <c r="S210" s="4">
        <v>929522028062</v>
      </c>
      <c r="T210" s="3">
        <v>3.7074889380000003E-2</v>
      </c>
      <c r="U210" s="4">
        <v>34461926362</v>
      </c>
      <c r="V210" s="3">
        <v>1.9869068869999999E-2</v>
      </c>
      <c r="W210" s="5">
        <v>5.5970149999999899E-2</v>
      </c>
      <c r="X210" s="4">
        <v>65058.367389999999</v>
      </c>
      <c r="Y210" s="4">
        <v>61417.040809999999</v>
      </c>
      <c r="Z210" s="6">
        <v>0.95799999999999996</v>
      </c>
      <c r="AA210" s="3">
        <v>8.4210526319999993E-3</v>
      </c>
      <c r="AB210" s="6">
        <v>0.32574999999999998</v>
      </c>
      <c r="AC210" s="3">
        <v>-5.3722179590000004E-3</v>
      </c>
      <c r="AD210" s="6">
        <v>0.63224999999999998</v>
      </c>
      <c r="AE210" s="3">
        <v>6.5931875000000001E-2</v>
      </c>
      <c r="AF210" s="3">
        <v>9.0931874999999995E-2</v>
      </c>
      <c r="AG210" s="3">
        <v>9.1931874999999996E-2</v>
      </c>
      <c r="AH210" s="3">
        <v>4.9931875000000001E-2</v>
      </c>
      <c r="AI210" s="3">
        <v>0.29872749999999998</v>
      </c>
      <c r="AJ210" s="6">
        <v>0.33867660579999997</v>
      </c>
      <c r="AK210" s="4">
        <v>38830.924050000001</v>
      </c>
      <c r="AL210" t="s">
        <v>55</v>
      </c>
      <c r="AM210" t="s">
        <v>233</v>
      </c>
      <c r="AN210" t="str">
        <f t="shared" si="7"/>
        <v>Satisfactory Economic Resilience with High Affordability.</v>
      </c>
      <c r="AP210" t="s">
        <v>40</v>
      </c>
    </row>
    <row r="211" spans="1:42" x14ac:dyDescent="0.4">
      <c r="A211" t="str">
        <f t="shared" si="6"/>
        <v>AUSTRALIA|2024</v>
      </c>
      <c r="B211" s="1" t="s">
        <v>229</v>
      </c>
      <c r="C211" s="1">
        <v>2024</v>
      </c>
      <c r="D211" s="4">
        <v>112600000000000</v>
      </c>
      <c r="E211" s="3">
        <v>5.4307116099999997E-2</v>
      </c>
      <c r="F211" s="2">
        <v>8161972572</v>
      </c>
      <c r="G211" s="3">
        <v>8.8964860320000002E-3</v>
      </c>
      <c r="H211" s="4">
        <v>1757022000000</v>
      </c>
      <c r="I211" s="3">
        <v>1.301333967E-2</v>
      </c>
      <c r="J211" s="2">
        <v>27196812</v>
      </c>
      <c r="K211" s="3">
        <v>2.0138468520000001E-2</v>
      </c>
      <c r="L211" s="3">
        <v>1.5604103019999999E-2</v>
      </c>
      <c r="M211" s="4">
        <v>395749200000</v>
      </c>
      <c r="N211" s="4">
        <v>432605700000</v>
      </c>
      <c r="O211" s="4">
        <v>36856500000</v>
      </c>
      <c r="P211" s="3">
        <v>2.0976686689999999E-2</v>
      </c>
      <c r="Q211" s="3">
        <v>0.51445857250000004</v>
      </c>
      <c r="R211" s="3">
        <v>-4.0040839709999998E-2</v>
      </c>
      <c r="S211" s="4">
        <v>903915029971</v>
      </c>
      <c r="T211" s="3">
        <v>3.7787444689999998E-2</v>
      </c>
      <c r="U211" s="4">
        <v>34156639197</v>
      </c>
      <c r="V211" s="3">
        <v>1.9440074849999999E-2</v>
      </c>
      <c r="W211" s="3">
        <v>3.1616140000000001E-2</v>
      </c>
      <c r="X211" s="4">
        <v>64603.969019999997</v>
      </c>
      <c r="Y211" s="4">
        <v>62561.440889999998</v>
      </c>
      <c r="Z211" s="6">
        <v>0.95799999999999996</v>
      </c>
      <c r="AA211" s="3">
        <v>0</v>
      </c>
      <c r="AB211" s="6">
        <v>0.32487500000000002</v>
      </c>
      <c r="AC211" s="3">
        <v>-2.6933435940000002E-3</v>
      </c>
      <c r="AD211" s="6">
        <v>0.63312500000000005</v>
      </c>
      <c r="AE211" s="3">
        <v>6.9862499999999994E-2</v>
      </c>
      <c r="AF211" s="3">
        <v>9.4862500000000002E-2</v>
      </c>
      <c r="AG211" s="3">
        <v>9.5862500000000003E-2</v>
      </c>
      <c r="AH211" s="3">
        <v>5.3862500000000001E-2</v>
      </c>
      <c r="AI211" s="3">
        <v>0.31445000000000001</v>
      </c>
      <c r="AJ211" s="6">
        <v>0.33159071490000003</v>
      </c>
      <c r="AK211" s="4">
        <v>39609.212270000004</v>
      </c>
      <c r="AL211" t="s">
        <v>55</v>
      </c>
      <c r="AM211" t="s">
        <v>232</v>
      </c>
      <c r="AN211" t="str">
        <f t="shared" si="7"/>
        <v>Satisfactory Economic Resilience with High Affordability.</v>
      </c>
      <c r="AP211" t="s">
        <v>40</v>
      </c>
    </row>
    <row r="212" spans="1:42" x14ac:dyDescent="0.4">
      <c r="A212" t="str">
        <f t="shared" si="6"/>
        <v>AUSTRALIA|2025</v>
      </c>
      <c r="B212" s="1" t="s">
        <v>229</v>
      </c>
      <c r="C212" s="1">
        <v>2025</v>
      </c>
      <c r="D212" s="4">
        <v>113795678000000</v>
      </c>
      <c r="E212" s="3">
        <v>1.061880995E-2</v>
      </c>
      <c r="F212" s="2">
        <v>8231613070</v>
      </c>
      <c r="G212" s="3">
        <v>8.5323121809999999E-3</v>
      </c>
      <c r="H212" s="4">
        <v>1772000000000</v>
      </c>
      <c r="I212" s="3">
        <v>8.5246513700000005E-3</v>
      </c>
      <c r="J212" s="2">
        <v>27900000</v>
      </c>
      <c r="K212" s="3">
        <v>2.5855530420000002E-2</v>
      </c>
      <c r="L212" s="3">
        <v>1.55717689E-2</v>
      </c>
      <c r="M212" s="4">
        <v>402000000000</v>
      </c>
      <c r="N212" s="4">
        <v>422000000000</v>
      </c>
      <c r="O212" s="4">
        <v>20000000000</v>
      </c>
      <c r="P212" s="3">
        <v>1.128668172E-2</v>
      </c>
      <c r="Q212" s="3">
        <v>0.49299999999999999</v>
      </c>
      <c r="R212" s="3">
        <v>-4.1710982469999998E-2</v>
      </c>
      <c r="S212" s="4">
        <v>873596000000</v>
      </c>
      <c r="T212" s="3">
        <v>3.85E-2</v>
      </c>
      <c r="U212" s="4">
        <v>33633446000</v>
      </c>
      <c r="V212" s="3">
        <v>1.8980500000000001E-2</v>
      </c>
      <c r="W212" s="3">
        <v>2.4E-2</v>
      </c>
      <c r="X212" s="4">
        <v>63512.544800000003</v>
      </c>
      <c r="Y212" s="4">
        <v>61988.243730000002</v>
      </c>
      <c r="Z212" s="6">
        <v>0.95799999999999996</v>
      </c>
      <c r="AA212" s="3">
        <v>0</v>
      </c>
      <c r="AB212" s="6">
        <v>0.32400000000000001</v>
      </c>
      <c r="AC212" s="3">
        <v>-2.7006172839999999E-3</v>
      </c>
      <c r="AD212" s="6">
        <v>0.63400000000000001</v>
      </c>
      <c r="AE212" s="3">
        <v>7.3999999999999996E-2</v>
      </c>
      <c r="AF212" s="3">
        <v>9.9000000000000005E-2</v>
      </c>
      <c r="AG212" s="3">
        <v>0.1</v>
      </c>
      <c r="AH212" s="3">
        <v>5.8000000000000003E-2</v>
      </c>
      <c r="AI212" s="3">
        <v>0.33100000000000002</v>
      </c>
      <c r="AJ212" s="6">
        <v>0.33887795059999998</v>
      </c>
      <c r="AK212" s="4">
        <v>39300.546520000004</v>
      </c>
      <c r="AL212" t="s">
        <v>55</v>
      </c>
      <c r="AM212" t="s">
        <v>233</v>
      </c>
      <c r="AN212" t="str">
        <f t="shared" si="7"/>
        <v>Satisfactory Economic Resilience with High Affordability.</v>
      </c>
      <c r="AO212" t="s">
        <v>324</v>
      </c>
      <c r="AP212" t="s">
        <v>40</v>
      </c>
    </row>
    <row r="213" spans="1:42" x14ac:dyDescent="0.4">
      <c r="A213" t="str">
        <f t="shared" si="6"/>
        <v>AUSTRALIA|2026</v>
      </c>
      <c r="B213" s="1" t="s">
        <v>229</v>
      </c>
      <c r="C213" s="1">
        <v>2026</v>
      </c>
      <c r="D213" s="4">
        <v>120063810405112</v>
      </c>
      <c r="E213" s="3">
        <v>5.5082341569999999E-2</v>
      </c>
      <c r="F213" s="2">
        <v>8302201675</v>
      </c>
      <c r="G213" s="3">
        <v>8.575306441E-3</v>
      </c>
      <c r="H213" s="4">
        <v>1880324902527</v>
      </c>
      <c r="I213" s="3">
        <v>6.1131434829999998E-2</v>
      </c>
      <c r="J213" s="2">
        <v>28191543.649999999</v>
      </c>
      <c r="K213" s="3">
        <v>1.044959321E-2</v>
      </c>
      <c r="L213" s="3">
        <v>1.5661046370000001E-2</v>
      </c>
      <c r="M213" s="4">
        <v>432237728571</v>
      </c>
      <c r="N213" s="4">
        <v>478807714286</v>
      </c>
      <c r="O213" s="4">
        <v>46569985714</v>
      </c>
      <c r="P213" s="3">
        <v>2.476698875E-2</v>
      </c>
      <c r="Q213" s="3">
        <v>0.47372176739999999</v>
      </c>
      <c r="R213" s="3">
        <v>-3.9103920090000001E-2</v>
      </c>
      <c r="S213" s="4">
        <v>890750836106</v>
      </c>
      <c r="T213" s="3">
        <v>4.5523759509999998E-2</v>
      </c>
      <c r="U213" s="4">
        <v>40550326845</v>
      </c>
      <c r="V213" s="3">
        <v>2.1565595810000001E-2</v>
      </c>
      <c r="W213" s="3">
        <v>4.686361E-2</v>
      </c>
      <c r="X213" s="4">
        <v>66698.188859999995</v>
      </c>
      <c r="Y213" s="4">
        <v>63572.470950000003</v>
      </c>
      <c r="Z213" s="6">
        <v>0.96280728579999997</v>
      </c>
      <c r="AA213" s="3">
        <v>5.0180435989999996E-3</v>
      </c>
      <c r="AB213" s="6">
        <v>0.32053726659999998</v>
      </c>
      <c r="AC213" s="3">
        <v>-1.080290433E-2</v>
      </c>
      <c r="AD213" s="6">
        <v>0.64227001920000004</v>
      </c>
      <c r="AE213" s="3">
        <v>7.8137499999999999E-2</v>
      </c>
      <c r="AF213" s="3">
        <v>0.10313749999999999</v>
      </c>
      <c r="AG213" s="3">
        <v>0.10413749999999999</v>
      </c>
      <c r="AH213" s="3">
        <v>6.2137499999999998E-2</v>
      </c>
      <c r="AI213" s="3">
        <v>0.34755000000000003</v>
      </c>
      <c r="AJ213" s="6">
        <v>0.3664124393</v>
      </c>
      <c r="AK213" s="4">
        <v>40830.692130000003</v>
      </c>
      <c r="AL213" t="s">
        <v>58</v>
      </c>
      <c r="AM213" t="s">
        <v>234</v>
      </c>
      <c r="AN213" t="str">
        <f t="shared" si="7"/>
        <v>Satisfactory Economic Resilience with Excellent Affordability.</v>
      </c>
      <c r="AP213" t="s">
        <v>40</v>
      </c>
    </row>
    <row r="214" spans="1:42" x14ac:dyDescent="0.4">
      <c r="A214" t="str">
        <f t="shared" si="6"/>
        <v>AUSTRALIA|2027</v>
      </c>
      <c r="B214" s="1" t="s">
        <v>229</v>
      </c>
      <c r="C214" s="1">
        <v>2027</v>
      </c>
      <c r="D214" s="4">
        <v>125735541889780</v>
      </c>
      <c r="E214" s="3">
        <v>4.7239309379999997E-2</v>
      </c>
      <c r="F214" s="2">
        <v>8372937901</v>
      </c>
      <c r="G214" s="3">
        <v>8.5201768609999996E-3</v>
      </c>
      <c r="H214" s="4">
        <v>1969285380524</v>
      </c>
      <c r="I214" s="3">
        <v>4.7311226839999998E-2</v>
      </c>
      <c r="J214" s="2">
        <v>28578498.77</v>
      </c>
      <c r="K214" s="3">
        <v>1.372592878E-2</v>
      </c>
      <c r="L214" s="3">
        <v>1.566212187E-2</v>
      </c>
      <c r="M214" s="4">
        <v>454820710714</v>
      </c>
      <c r="N214" s="4">
        <v>500349935714</v>
      </c>
      <c r="O214" s="4">
        <v>45529225000</v>
      </c>
      <c r="P214" s="3">
        <v>2.3119668409999999E-2</v>
      </c>
      <c r="Q214" s="3">
        <v>0.4504749441</v>
      </c>
      <c r="R214" s="3">
        <v>-4.9072736159999998E-2</v>
      </c>
      <c r="S214" s="4">
        <v>887113721693</v>
      </c>
      <c r="T214" s="3">
        <v>4.8882948840000003E-2</v>
      </c>
      <c r="U214" s="4">
        <v>43364734672</v>
      </c>
      <c r="V214" s="3">
        <v>2.2020543649999998E-2</v>
      </c>
      <c r="W214" s="3">
        <v>5.03386875E-2</v>
      </c>
      <c r="X214" s="4">
        <v>68907.936570000005</v>
      </c>
      <c r="Y214" s="4">
        <v>65439.201480000003</v>
      </c>
      <c r="Z214" s="6">
        <v>0.96665417080000005</v>
      </c>
      <c r="AA214" s="3">
        <v>3.9954880659999999E-3</v>
      </c>
      <c r="AB214" s="6">
        <v>0.31771148440000002</v>
      </c>
      <c r="AC214" s="3">
        <v>-8.8941770759999993E-3</v>
      </c>
      <c r="AD214" s="6">
        <v>0.64894268639999997</v>
      </c>
      <c r="AE214" s="3">
        <v>8.2481874999999996E-2</v>
      </c>
      <c r="AF214" s="3">
        <v>0.107481875</v>
      </c>
      <c r="AG214" s="3">
        <v>0.10848187500000001</v>
      </c>
      <c r="AH214" s="3">
        <v>6.6481874999999996E-2</v>
      </c>
      <c r="AI214" s="3">
        <v>0.36492750000000002</v>
      </c>
      <c r="AJ214" s="6">
        <v>0.38168874660000002</v>
      </c>
      <c r="AK214" s="4">
        <v>42466.291210000003</v>
      </c>
      <c r="AL214" t="s">
        <v>58</v>
      </c>
      <c r="AM214" t="s">
        <v>235</v>
      </c>
      <c r="AN214" t="str">
        <f t="shared" si="7"/>
        <v>Satisfactory Economic Resilience with Excellent Affordability.</v>
      </c>
      <c r="AP214" t="s">
        <v>40</v>
      </c>
    </row>
    <row r="215" spans="1:42" x14ac:dyDescent="0.4">
      <c r="A215" t="str">
        <f t="shared" si="6"/>
        <v>AUSTRALIA|2028</v>
      </c>
      <c r="B215" s="1" t="s">
        <v>229</v>
      </c>
      <c r="C215" s="1">
        <v>2028</v>
      </c>
      <c r="D215" s="4">
        <v>131237442252096</v>
      </c>
      <c r="E215" s="3">
        <v>4.375771782E-2</v>
      </c>
      <c r="F215" s="2">
        <v>8443822776</v>
      </c>
      <c r="G215" s="3">
        <v>8.465950178E-3</v>
      </c>
      <c r="H215" s="4">
        <v>2052012618444</v>
      </c>
      <c r="I215" s="3">
        <v>4.200876051E-2</v>
      </c>
      <c r="J215" s="2">
        <v>28999332.440000001</v>
      </c>
      <c r="K215" s="3">
        <v>1.4725534449999999E-2</v>
      </c>
      <c r="L215" s="3">
        <v>1.5635877869999999E-2</v>
      </c>
      <c r="M215" s="4">
        <v>477403692857</v>
      </c>
      <c r="N215" s="4">
        <v>521892157143</v>
      </c>
      <c r="O215" s="4">
        <v>44488464286</v>
      </c>
      <c r="P215" s="3">
        <v>2.168040483E-2</v>
      </c>
      <c r="Q215" s="3">
        <v>0.42605400669999999</v>
      </c>
      <c r="R215" s="3">
        <v>-5.4211533249999999E-2</v>
      </c>
      <c r="S215" s="4">
        <v>874268197849</v>
      </c>
      <c r="T215" s="3">
        <v>5.2242138170000001E-2</v>
      </c>
      <c r="U215" s="4">
        <v>45673639989</v>
      </c>
      <c r="V215" s="3">
        <v>2.225797228E-2</v>
      </c>
      <c r="W215" s="3">
        <v>5.3813765E-2</v>
      </c>
      <c r="X215" s="4">
        <v>70760.684670000002</v>
      </c>
      <c r="Y215" s="4">
        <v>66952.785820000005</v>
      </c>
      <c r="Z215" s="6">
        <v>0.97017537580000002</v>
      </c>
      <c r="AA215" s="3">
        <v>3.6426729229999998E-3</v>
      </c>
      <c r="AB215" s="6">
        <v>0.31510470330000001</v>
      </c>
      <c r="AC215" s="3">
        <v>-8.2727455300000002E-3</v>
      </c>
      <c r="AD215" s="6">
        <v>0.65507067240000005</v>
      </c>
      <c r="AE215" s="3">
        <v>8.7043468750000005E-2</v>
      </c>
      <c r="AF215" s="3">
        <v>0.1120434688</v>
      </c>
      <c r="AG215" s="3">
        <v>0.1130434688</v>
      </c>
      <c r="AH215" s="3">
        <v>7.1043468750000005E-2</v>
      </c>
      <c r="AI215" s="3">
        <v>0.383173875</v>
      </c>
      <c r="AJ215" s="6">
        <v>0.39823218539999999</v>
      </c>
      <c r="AK215" s="4">
        <v>43858.806420000001</v>
      </c>
      <c r="AL215" t="s">
        <v>58</v>
      </c>
      <c r="AM215" t="s">
        <v>236</v>
      </c>
      <c r="AN215" t="str">
        <f t="shared" si="7"/>
        <v>Satisfactory Economic Resilience with Excellent Affordability.</v>
      </c>
      <c r="AP215" t="s">
        <v>40</v>
      </c>
    </row>
    <row r="216" spans="1:42" x14ac:dyDescent="0.4">
      <c r="A216" t="str">
        <f t="shared" si="6"/>
        <v>AUSTRALIA|2029</v>
      </c>
      <c r="B216" s="1" t="s">
        <v>229</v>
      </c>
      <c r="C216" s="1">
        <v>2029</v>
      </c>
      <c r="D216" s="4">
        <v>136712479650225</v>
      </c>
      <c r="E216" s="3">
        <v>4.1718562200000003E-2</v>
      </c>
      <c r="F216" s="2">
        <v>8514849364</v>
      </c>
      <c r="G216" s="3">
        <v>8.4116624760000001E-3</v>
      </c>
      <c r="H216" s="4">
        <v>2132949995220</v>
      </c>
      <c r="I216" s="3">
        <v>3.9442923519999999E-2</v>
      </c>
      <c r="J216" s="2">
        <v>29433307.84</v>
      </c>
      <c r="K216" s="3">
        <v>1.496501362E-2</v>
      </c>
      <c r="L216" s="3">
        <v>1.560172122E-2</v>
      </c>
      <c r="M216" s="4">
        <v>499986675000</v>
      </c>
      <c r="N216" s="4">
        <v>536050778075</v>
      </c>
      <c r="O216" s="4">
        <v>36064103075</v>
      </c>
      <c r="P216" s="3">
        <v>1.6908086530000001E-2</v>
      </c>
      <c r="Q216" s="3">
        <v>0.4013708996</v>
      </c>
      <c r="R216" s="3">
        <v>-5.7934221229999999E-2</v>
      </c>
      <c r="S216" s="4">
        <v>856104058385</v>
      </c>
      <c r="T216" s="3">
        <v>5.5601327499999999E-2</v>
      </c>
      <c r="U216" s="4">
        <v>47600522124</v>
      </c>
      <c r="V216" s="3">
        <v>2.2316754840000001E-2</v>
      </c>
      <c r="W216" s="3">
        <v>5.7288842499999999E-2</v>
      </c>
      <c r="X216" s="4">
        <v>72467.220010000005</v>
      </c>
      <c r="Y216" s="4">
        <v>68315.656860000003</v>
      </c>
      <c r="Z216" s="6">
        <v>0.97358218799999996</v>
      </c>
      <c r="AA216" s="3">
        <v>3.5115426439999999E-3</v>
      </c>
      <c r="AB216" s="6">
        <v>0.31257810450000001</v>
      </c>
      <c r="AC216" s="3">
        <v>-8.0830961400000009E-3</v>
      </c>
      <c r="AD216" s="6">
        <v>0.66100408349999995</v>
      </c>
      <c r="AE216" s="3">
        <v>9.1833142189999994E-2</v>
      </c>
      <c r="AF216" s="3">
        <v>0.1168331422</v>
      </c>
      <c r="AG216" s="3">
        <v>0.1178331422</v>
      </c>
      <c r="AH216" s="3">
        <v>7.5833142189999994E-2</v>
      </c>
      <c r="AI216" s="3">
        <v>0.40233256880000001</v>
      </c>
      <c r="AJ216" s="6">
        <v>0.41252562170000001</v>
      </c>
      <c r="AK216" s="4">
        <v>45156.92815</v>
      </c>
      <c r="AL216" t="s">
        <v>58</v>
      </c>
      <c r="AM216" t="s">
        <v>237</v>
      </c>
      <c r="AN216" t="str">
        <f t="shared" si="7"/>
        <v>Good Economic Resilience with Excellent Affordability.</v>
      </c>
      <c r="AP216" t="s">
        <v>40</v>
      </c>
    </row>
    <row r="217" spans="1:42" x14ac:dyDescent="0.4">
      <c r="A217" t="str">
        <f t="shared" si="6"/>
        <v>AUSTRALIA|2030</v>
      </c>
      <c r="B217" s="1" t="s">
        <v>229</v>
      </c>
      <c r="C217" s="1">
        <v>2030</v>
      </c>
      <c r="D217" s="4">
        <v>141834754671550</v>
      </c>
      <c r="E217" s="3"/>
      <c r="F217" s="2">
        <v>8586617399</v>
      </c>
      <c r="G217" s="3"/>
      <c r="H217" s="4">
        <v>2193572810824</v>
      </c>
      <c r="I217" s="3"/>
      <c r="J217" s="2">
        <v>29982756.460000001</v>
      </c>
      <c r="K217" s="3"/>
      <c r="L217" s="3">
        <v>1.5465693270000001E-2</v>
      </c>
      <c r="M217" s="4">
        <v>522569657143</v>
      </c>
      <c r="N217" s="4">
        <v>549916113668</v>
      </c>
      <c r="O217" s="4">
        <v>27346456526</v>
      </c>
      <c r="P217" s="3">
        <v>1.246662814E-2</v>
      </c>
      <c r="Q217" s="3">
        <v>0.37673491780000001</v>
      </c>
      <c r="R217" s="3"/>
      <c r="S217" s="4">
        <v>826395472469</v>
      </c>
      <c r="T217" s="3">
        <v>5.8960516829999997E-2</v>
      </c>
      <c r="U217" s="4">
        <v>48724704163</v>
      </c>
      <c r="V217" s="3">
        <v>2.221248546E-2</v>
      </c>
      <c r="W217" s="3">
        <v>6.0763919999999999E-2</v>
      </c>
      <c r="X217" s="4">
        <v>73161.145610000007</v>
      </c>
      <c r="Y217" s="4">
        <v>68715.587610000002</v>
      </c>
      <c r="Z217" s="6">
        <v>0.9769483148</v>
      </c>
      <c r="AA217" s="3"/>
      <c r="AB217" s="6">
        <v>0.31008329890000003</v>
      </c>
      <c r="AC217" s="3"/>
      <c r="AD217" s="6">
        <v>0.66686501590000002</v>
      </c>
      <c r="AE217" s="3">
        <v>9.6862299299999996E-2</v>
      </c>
      <c r="AF217" s="3">
        <v>0.1218622993</v>
      </c>
      <c r="AG217" s="3">
        <v>0.12286229930000001</v>
      </c>
      <c r="AH217" s="3">
        <v>8.0862299299999996E-2</v>
      </c>
      <c r="AI217" s="3">
        <v>0.42244919720000002</v>
      </c>
      <c r="AJ217" s="6">
        <v>0.42816903309999998</v>
      </c>
      <c r="AK217" s="4">
        <v>45824.021430000001</v>
      </c>
      <c r="AL217" t="s">
        <v>58</v>
      </c>
      <c r="AM217" t="s">
        <v>78</v>
      </c>
      <c r="AN217" t="str">
        <f t="shared" si="7"/>
        <v>Good Economic Resilience with Excellent Affordability.</v>
      </c>
      <c r="AP217" t="s">
        <v>40</v>
      </c>
    </row>
    <row r="218" spans="1:42" x14ac:dyDescent="0.4">
      <c r="A218" t="str">
        <f t="shared" si="6"/>
        <v>NETHERLAND|2019</v>
      </c>
      <c r="B218" s="1" t="s">
        <v>239</v>
      </c>
      <c r="C218" s="1">
        <v>2019</v>
      </c>
      <c r="D218" s="4">
        <v>87700000000000</v>
      </c>
      <c r="E218" s="3"/>
      <c r="F218" s="2">
        <v>7810000000</v>
      </c>
      <c r="G218" s="3"/>
      <c r="H218" s="4">
        <v>928903000000</v>
      </c>
      <c r="I218" s="3"/>
      <c r="J218" s="2">
        <v>17344874</v>
      </c>
      <c r="K218" s="3"/>
      <c r="L218" s="3">
        <v>1.05918244E-2</v>
      </c>
      <c r="M218" s="4">
        <v>699981700000</v>
      </c>
      <c r="N218" s="4">
        <v>792548800000</v>
      </c>
      <c r="O218" s="4">
        <v>92567100000</v>
      </c>
      <c r="P218" s="3">
        <v>9.9652062700000002E-2</v>
      </c>
      <c r="Q218" s="3">
        <v>0.47699999999999998</v>
      </c>
      <c r="R218" s="3"/>
      <c r="S218" s="4">
        <v>443086731000</v>
      </c>
      <c r="T218" s="3">
        <v>0</v>
      </c>
      <c r="U218" s="4">
        <v>0</v>
      </c>
      <c r="V218" s="3">
        <v>0</v>
      </c>
      <c r="W218" s="3">
        <v>2.6336990000000001E-2</v>
      </c>
      <c r="X218" s="4">
        <v>53554.900430000002</v>
      </c>
      <c r="Y218" s="4">
        <v>52144.42555</v>
      </c>
      <c r="Z218" s="6">
        <v>0.93</v>
      </c>
      <c r="AA218" s="3"/>
      <c r="AB218" s="6">
        <v>0.29199999999999998</v>
      </c>
      <c r="AC218" s="3"/>
      <c r="AD218" s="6">
        <v>0.63800000000000001</v>
      </c>
      <c r="AE218" s="3">
        <v>0.15119124310000001</v>
      </c>
      <c r="AF218" s="3">
        <v>7.1191243109999996E-2</v>
      </c>
      <c r="AG218" s="3">
        <v>7.1191243109999996E-2</v>
      </c>
      <c r="AH218" s="3">
        <v>2.6191243110000002E-2</v>
      </c>
      <c r="AI218" s="3">
        <v>0.31976497240000001</v>
      </c>
      <c r="AJ218" s="6">
        <v>0.43000885950000001</v>
      </c>
      <c r="AK218" s="4">
        <v>33268.143499999998</v>
      </c>
      <c r="AL218" t="s">
        <v>52</v>
      </c>
      <c r="AM218" t="s">
        <v>238</v>
      </c>
      <c r="AN218" t="str">
        <f t="shared" si="7"/>
        <v>Good Economic Resilience with Very Good Affordability.</v>
      </c>
      <c r="AP218" t="s">
        <v>40</v>
      </c>
    </row>
    <row r="219" spans="1:42" x14ac:dyDescent="0.4">
      <c r="A219" t="str">
        <f t="shared" si="6"/>
        <v>NETHERLAND|2020</v>
      </c>
      <c r="B219" s="1" t="s">
        <v>239</v>
      </c>
      <c r="C219" s="1">
        <v>2020</v>
      </c>
      <c r="D219" s="4">
        <v>84750000000000</v>
      </c>
      <c r="E219" s="3">
        <v>-3.3637400230000003E-2</v>
      </c>
      <c r="F219" s="2">
        <v>7890000000</v>
      </c>
      <c r="G219" s="3">
        <v>1.0243277849999999E-2</v>
      </c>
      <c r="H219" s="4">
        <v>932560900000</v>
      </c>
      <c r="I219" s="3">
        <v>3.9378707999999998E-3</v>
      </c>
      <c r="J219" s="2">
        <v>17441500</v>
      </c>
      <c r="K219" s="3">
        <v>5.5708677959999996E-3</v>
      </c>
      <c r="L219" s="3">
        <v>1.1003668439999999E-2</v>
      </c>
      <c r="M219" s="4">
        <v>662040900000</v>
      </c>
      <c r="N219" s="4">
        <v>757626700000</v>
      </c>
      <c r="O219" s="4">
        <v>95585800000</v>
      </c>
      <c r="P219" s="3">
        <v>0.1024981854</v>
      </c>
      <c r="Q219" s="3">
        <v>0.53400000000000003</v>
      </c>
      <c r="R219" s="3">
        <v>0.1194968553</v>
      </c>
      <c r="S219" s="4">
        <v>497987520600</v>
      </c>
      <c r="T219" s="3">
        <v>0</v>
      </c>
      <c r="U219" s="4">
        <v>0</v>
      </c>
      <c r="V219" s="3">
        <v>0</v>
      </c>
      <c r="W219" s="5">
        <v>1.27245999999999E-2</v>
      </c>
      <c r="X219" s="4">
        <v>53467.929940000002</v>
      </c>
      <c r="Y219" s="4">
        <v>52787.571920000002</v>
      </c>
      <c r="Z219" s="6">
        <v>0.94</v>
      </c>
      <c r="AA219" s="3">
        <v>1.075268817E-2</v>
      </c>
      <c r="AB219" s="6">
        <v>0.26</v>
      </c>
      <c r="AC219" s="3">
        <v>-0.1230769231</v>
      </c>
      <c r="AD219" s="6">
        <v>0.68</v>
      </c>
      <c r="AE219" s="3">
        <v>0.15539867700000001</v>
      </c>
      <c r="AF219" s="3">
        <v>7.5398676949999993E-2</v>
      </c>
      <c r="AG219" s="3">
        <v>7.5398676949999993E-2</v>
      </c>
      <c r="AH219" s="3">
        <v>3.0398676949999998E-2</v>
      </c>
      <c r="AI219" s="3">
        <v>0.3365947078</v>
      </c>
      <c r="AJ219" s="6">
        <v>0.4500965616</v>
      </c>
      <c r="AK219" s="4">
        <v>35895.548900000002</v>
      </c>
      <c r="AL219" t="s">
        <v>55</v>
      </c>
      <c r="AM219" t="s">
        <v>224</v>
      </c>
      <c r="AN219" t="str">
        <f t="shared" si="7"/>
        <v>Good Economic Resilience with High Affordability.</v>
      </c>
      <c r="AP219" t="s">
        <v>40</v>
      </c>
    </row>
    <row r="220" spans="1:42" x14ac:dyDescent="0.4">
      <c r="A220" t="str">
        <f t="shared" si="6"/>
        <v>NETHERLAND|2021</v>
      </c>
      <c r="B220" s="1" t="s">
        <v>239</v>
      </c>
      <c r="C220" s="1">
        <v>2021</v>
      </c>
      <c r="D220" s="4">
        <v>96140000000000</v>
      </c>
      <c r="E220" s="3">
        <v>0.13439528019999999</v>
      </c>
      <c r="F220" s="2">
        <v>7950000000</v>
      </c>
      <c r="G220" s="3">
        <v>7.6045627380000001E-3</v>
      </c>
      <c r="H220" s="4">
        <v>1054472000000</v>
      </c>
      <c r="I220" s="3">
        <v>0.13072722649999999</v>
      </c>
      <c r="J220" s="2">
        <v>17533044</v>
      </c>
      <c r="K220" s="3">
        <v>5.2486311379999996E-3</v>
      </c>
      <c r="L220" s="3">
        <v>1.09680882E-2</v>
      </c>
      <c r="M220" s="4">
        <v>808831200000</v>
      </c>
      <c r="N220" s="4">
        <v>911591200000</v>
      </c>
      <c r="O220" s="4">
        <v>102760000000</v>
      </c>
      <c r="P220" s="3">
        <v>9.7451615599999999E-2</v>
      </c>
      <c r="Q220" s="3">
        <v>0.505</v>
      </c>
      <c r="R220" s="3">
        <v>-5.4307116099999997E-2</v>
      </c>
      <c r="S220" s="4">
        <v>532508360000</v>
      </c>
      <c r="T220" s="3">
        <v>0</v>
      </c>
      <c r="U220" s="4">
        <v>0</v>
      </c>
      <c r="V220" s="3">
        <v>0</v>
      </c>
      <c r="W220" s="5">
        <v>2.6757199999999998E-2</v>
      </c>
      <c r="X220" s="4">
        <v>60141.981050000002</v>
      </c>
      <c r="Y220" s="4">
        <v>58532.750030000003</v>
      </c>
      <c r="Z220" s="6">
        <v>0.94</v>
      </c>
      <c r="AA220" s="3">
        <v>0</v>
      </c>
      <c r="AB220" s="6">
        <v>0.25700000000000001</v>
      </c>
      <c r="AC220" s="3">
        <v>-1.1673151749999999E-2</v>
      </c>
      <c r="AD220" s="6">
        <v>0.68300000000000005</v>
      </c>
      <c r="AE220" s="3">
        <v>0.15982755470000001</v>
      </c>
      <c r="AF220" s="3">
        <v>7.9827554689999997E-2</v>
      </c>
      <c r="AG220" s="3">
        <v>7.9827554689999997E-2</v>
      </c>
      <c r="AH220" s="3">
        <v>3.4827554689999998E-2</v>
      </c>
      <c r="AI220" s="3">
        <v>0.35431021880000002</v>
      </c>
      <c r="AJ220" s="6">
        <v>0.4627299225</v>
      </c>
      <c r="AK220" s="4">
        <v>39977.868269999999</v>
      </c>
      <c r="AL220" t="s">
        <v>55</v>
      </c>
      <c r="AM220" t="s">
        <v>240</v>
      </c>
      <c r="AN220" t="str">
        <f t="shared" si="7"/>
        <v>Good Economic Resilience with High Affordability.</v>
      </c>
      <c r="AP220" t="s">
        <v>40</v>
      </c>
    </row>
    <row r="221" spans="1:42" x14ac:dyDescent="0.4">
      <c r="A221" t="str">
        <f t="shared" si="6"/>
        <v>NETHERLAND|2022</v>
      </c>
      <c r="B221" s="1" t="s">
        <v>239</v>
      </c>
      <c r="C221" s="1">
        <v>2022</v>
      </c>
      <c r="D221" s="4">
        <v>101560000000000</v>
      </c>
      <c r="E221" s="3">
        <v>5.6376118160000002E-2</v>
      </c>
      <c r="F221" s="2">
        <v>8020000000</v>
      </c>
      <c r="G221" s="3">
        <v>8.8050314469999991E-3</v>
      </c>
      <c r="H221" s="4">
        <v>1046541000000</v>
      </c>
      <c r="I221" s="3">
        <v>-7.52129976E-3</v>
      </c>
      <c r="J221" s="2">
        <v>17700982</v>
      </c>
      <c r="K221" s="3">
        <v>9.5783709889999992E-3</v>
      </c>
      <c r="L221" s="3">
        <v>1.030465735E-2</v>
      </c>
      <c r="M221" s="4">
        <v>917438100000</v>
      </c>
      <c r="N221" s="4">
        <v>1009322000000</v>
      </c>
      <c r="O221" s="4">
        <v>91883900000</v>
      </c>
      <c r="P221" s="3">
        <v>8.7797706919999996E-2</v>
      </c>
      <c r="Q221" s="3">
        <v>0.48399999999999999</v>
      </c>
      <c r="R221" s="3">
        <v>-4.1584158420000003E-2</v>
      </c>
      <c r="S221" s="4">
        <v>506525844000</v>
      </c>
      <c r="T221" s="3">
        <v>0</v>
      </c>
      <c r="U221" s="4">
        <v>0</v>
      </c>
      <c r="V221" s="3">
        <v>0</v>
      </c>
      <c r="W221" s="3">
        <v>0.10001208</v>
      </c>
      <c r="X221" s="4">
        <v>59123.329989999998</v>
      </c>
      <c r="Y221" s="4">
        <v>53210.282780000001</v>
      </c>
      <c r="Z221" s="6">
        <v>0.95</v>
      </c>
      <c r="AA221" s="3">
        <v>1.0638297870000001E-2</v>
      </c>
      <c r="AB221" s="6">
        <v>0.26050000000000001</v>
      </c>
      <c r="AC221" s="3">
        <v>1.3435700579999999E-2</v>
      </c>
      <c r="AD221" s="6">
        <v>0.6895</v>
      </c>
      <c r="AE221" s="3">
        <v>0.16448953129999999</v>
      </c>
      <c r="AF221" s="3">
        <v>8.448953125E-2</v>
      </c>
      <c r="AG221" s="3">
        <v>8.448953125E-2</v>
      </c>
      <c r="AH221" s="3">
        <v>3.9489531250000001E-2</v>
      </c>
      <c r="AI221" s="3">
        <v>0.37295812499999997</v>
      </c>
      <c r="AJ221" s="6">
        <v>0.4710604893</v>
      </c>
      <c r="AK221" s="4">
        <v>36688.489979999998</v>
      </c>
      <c r="AL221" t="s">
        <v>55</v>
      </c>
      <c r="AM221" t="s">
        <v>225</v>
      </c>
      <c r="AN221" t="str">
        <f t="shared" si="7"/>
        <v>Good Economic Resilience with High Affordability.</v>
      </c>
      <c r="AP221" t="s">
        <v>40</v>
      </c>
    </row>
    <row r="222" spans="1:42" x14ac:dyDescent="0.4">
      <c r="A222" t="str">
        <f t="shared" si="6"/>
        <v>NETHERLAND|2023</v>
      </c>
      <c r="B222" s="1" t="s">
        <v>239</v>
      </c>
      <c r="C222" s="1">
        <v>2023</v>
      </c>
      <c r="D222" s="4">
        <v>106800000000000</v>
      </c>
      <c r="E222" s="3">
        <v>5.1595116189999998E-2</v>
      </c>
      <c r="F222" s="2">
        <v>8090000000</v>
      </c>
      <c r="G222" s="3">
        <v>8.7281795509999999E-3</v>
      </c>
      <c r="H222" s="4">
        <v>1135476000000</v>
      </c>
      <c r="I222" s="3">
        <v>8.4979948230000005E-2</v>
      </c>
      <c r="J222" s="2">
        <v>17877117</v>
      </c>
      <c r="K222" s="3">
        <v>9.9505778829999999E-3</v>
      </c>
      <c r="L222" s="3">
        <v>1.063179775E-2</v>
      </c>
      <c r="M222" s="4">
        <v>880497600000</v>
      </c>
      <c r="N222" s="4">
        <v>993383100000</v>
      </c>
      <c r="O222" s="4">
        <v>112885500000</v>
      </c>
      <c r="P222" s="3">
        <v>9.9416896530000007E-2</v>
      </c>
      <c r="Q222" s="3">
        <v>0.45800000000000002</v>
      </c>
      <c r="R222" s="3">
        <v>-5.3719008259999999E-2</v>
      </c>
      <c r="S222" s="4">
        <v>520048008000</v>
      </c>
      <c r="T222" s="3">
        <v>3.5000000000000003E-2</v>
      </c>
      <c r="U222" s="4">
        <v>18201680280</v>
      </c>
      <c r="V222" s="3">
        <v>1.6029999999999999E-2</v>
      </c>
      <c r="W222" s="3">
        <v>3.8383939999999998E-2</v>
      </c>
      <c r="X222" s="4">
        <v>63515.610489999999</v>
      </c>
      <c r="Y222" s="4">
        <v>61077.631099999999</v>
      </c>
      <c r="Z222" s="6">
        <v>0.96</v>
      </c>
      <c r="AA222" s="3">
        <v>1.0526315790000001E-2</v>
      </c>
      <c r="AB222" s="6">
        <v>0.26224999999999998</v>
      </c>
      <c r="AC222" s="3">
        <v>6.6730219260000001E-3</v>
      </c>
      <c r="AD222" s="6">
        <v>0.69774999999999998</v>
      </c>
      <c r="AE222" s="3">
        <v>0.169396875</v>
      </c>
      <c r="AF222" s="3">
        <v>8.9396875000000001E-2</v>
      </c>
      <c r="AG222" s="3">
        <v>8.9396875000000001E-2</v>
      </c>
      <c r="AH222" s="3">
        <v>4.4396875000000002E-2</v>
      </c>
      <c r="AI222" s="3">
        <v>0.39258749999999998</v>
      </c>
      <c r="AJ222" s="6">
        <v>0.48660619430000002</v>
      </c>
      <c r="AK222" s="4">
        <v>42616.917099999999</v>
      </c>
      <c r="AL222" t="s">
        <v>58</v>
      </c>
      <c r="AM222" t="s">
        <v>241</v>
      </c>
      <c r="AN222" t="str">
        <f t="shared" si="7"/>
        <v>Good Economic Resilience with Excellent Affordability.</v>
      </c>
      <c r="AP222" t="s">
        <v>40</v>
      </c>
    </row>
    <row r="223" spans="1:42" x14ac:dyDescent="0.4">
      <c r="A223" t="str">
        <f t="shared" si="6"/>
        <v>NETHERLAND|2024</v>
      </c>
      <c r="B223" s="1" t="s">
        <v>239</v>
      </c>
      <c r="C223" s="1">
        <v>2024</v>
      </c>
      <c r="D223" s="4">
        <v>112600000000000</v>
      </c>
      <c r="E223" s="3">
        <v>5.4307116099999997E-2</v>
      </c>
      <c r="F223" s="2">
        <v>8161972572</v>
      </c>
      <c r="G223" s="3">
        <v>8.8964860320000002E-3</v>
      </c>
      <c r="H223" s="4">
        <v>1214928000000</v>
      </c>
      <c r="I223" s="3">
        <v>6.9972416849999997E-2</v>
      </c>
      <c r="J223" s="2">
        <v>17993485</v>
      </c>
      <c r="K223" s="3">
        <v>6.5093269790000002E-3</v>
      </c>
      <c r="L223" s="3">
        <v>1.078976909E-2</v>
      </c>
      <c r="M223" s="4">
        <v>867461900000</v>
      </c>
      <c r="N223" s="4">
        <v>1001469000000</v>
      </c>
      <c r="O223" s="4">
        <v>134007100000</v>
      </c>
      <c r="P223" s="3">
        <v>0.11030044579999999</v>
      </c>
      <c r="Q223" s="3">
        <v>0.437</v>
      </c>
      <c r="R223" s="3">
        <v>-4.5851528379999999E-2</v>
      </c>
      <c r="S223" s="4">
        <v>530923536000</v>
      </c>
      <c r="T223" s="3">
        <v>4.4999999999999998E-2</v>
      </c>
      <c r="U223" s="4">
        <v>23891559120</v>
      </c>
      <c r="V223" s="3">
        <v>1.9664999999999998E-2</v>
      </c>
      <c r="W223" s="3">
        <v>3.347543E-2</v>
      </c>
      <c r="X223" s="4">
        <v>67520.438649999996</v>
      </c>
      <c r="Y223" s="4">
        <v>65260.162929999999</v>
      </c>
      <c r="Z223" s="6">
        <v>0.96</v>
      </c>
      <c r="AA223" s="3">
        <v>0</v>
      </c>
      <c r="AB223" s="6">
        <v>0.263125</v>
      </c>
      <c r="AC223" s="3">
        <v>3.3254156769999999E-3</v>
      </c>
      <c r="AD223" s="6">
        <v>0.69687500000000002</v>
      </c>
      <c r="AE223" s="3">
        <v>0.17456250000000001</v>
      </c>
      <c r="AF223" s="3">
        <v>9.4562499999999994E-2</v>
      </c>
      <c r="AG223" s="3">
        <v>9.4562499999999994E-2</v>
      </c>
      <c r="AH223" s="3">
        <v>4.9562500000000002E-2</v>
      </c>
      <c r="AI223" s="3">
        <v>0.41325000000000001</v>
      </c>
      <c r="AJ223" s="6">
        <v>0.51467521490000001</v>
      </c>
      <c r="AK223" s="4">
        <v>45478.176039999998</v>
      </c>
      <c r="AL223" t="s">
        <v>58</v>
      </c>
      <c r="AM223" t="s">
        <v>227</v>
      </c>
      <c r="AN223" t="str">
        <f t="shared" si="7"/>
        <v>Excellent Economic Resilience with Excellent Affordability.</v>
      </c>
      <c r="AP223" t="s">
        <v>40</v>
      </c>
    </row>
    <row r="224" spans="1:42" x14ac:dyDescent="0.4">
      <c r="A224" t="str">
        <f t="shared" si="6"/>
        <v>NETHERLAND|2025</v>
      </c>
      <c r="B224" s="1" t="s">
        <v>239</v>
      </c>
      <c r="C224" s="1">
        <v>2025</v>
      </c>
      <c r="D224" s="4">
        <v>113795678000000</v>
      </c>
      <c r="E224" s="3">
        <v>1.061880995E-2</v>
      </c>
      <c r="F224" s="2">
        <v>8231613070</v>
      </c>
      <c r="G224" s="3">
        <v>8.5323121809999999E-3</v>
      </c>
      <c r="H224" s="4">
        <v>1272000000000</v>
      </c>
      <c r="I224" s="3">
        <v>4.6975623250000001E-2</v>
      </c>
      <c r="J224" s="2">
        <v>18400000</v>
      </c>
      <c r="K224" s="3">
        <v>2.2592343840000001E-2</v>
      </c>
      <c r="L224" s="3">
        <v>1.117792892E-2</v>
      </c>
      <c r="M224" s="4">
        <v>678500000000</v>
      </c>
      <c r="N224" s="4">
        <v>765400000000</v>
      </c>
      <c r="O224" s="4">
        <v>86900000000</v>
      </c>
      <c r="P224" s="3">
        <v>6.8317610060000006E-2</v>
      </c>
      <c r="Q224" s="3">
        <v>0.433</v>
      </c>
      <c r="R224" s="3">
        <v>-9.1533180779999994E-3</v>
      </c>
      <c r="S224" s="4">
        <v>550776000000</v>
      </c>
      <c r="T224" s="3">
        <v>2.4E-2</v>
      </c>
      <c r="U224" s="4">
        <v>13218624000</v>
      </c>
      <c r="V224" s="3">
        <v>1.0392E-2</v>
      </c>
      <c r="W224" s="3">
        <v>3.1E-2</v>
      </c>
      <c r="X224" s="4">
        <v>69130.434779999996</v>
      </c>
      <c r="Y224" s="4">
        <v>66987.391300000003</v>
      </c>
      <c r="Z224" s="6">
        <v>0.95499999999999996</v>
      </c>
      <c r="AA224" s="3">
        <v>-5.2083333329999999E-3</v>
      </c>
      <c r="AB224" s="6">
        <v>0.26400000000000001</v>
      </c>
      <c r="AC224" s="3">
        <v>3.3143939389999998E-3</v>
      </c>
      <c r="AD224" s="6">
        <v>0.69099999999999995</v>
      </c>
      <c r="AE224" s="3">
        <v>0.18</v>
      </c>
      <c r="AF224" s="3">
        <v>0.1</v>
      </c>
      <c r="AG224" s="3">
        <v>0.1</v>
      </c>
      <c r="AH224" s="3">
        <v>5.5E-2</v>
      </c>
      <c r="AI224" s="3">
        <v>0.435</v>
      </c>
      <c r="AJ224" s="6">
        <v>0.50410353900000004</v>
      </c>
      <c r="AK224" s="4">
        <v>46288.287389999998</v>
      </c>
      <c r="AL224" t="s">
        <v>58</v>
      </c>
      <c r="AM224" t="s">
        <v>242</v>
      </c>
      <c r="AN224" t="str">
        <f t="shared" si="7"/>
        <v>Good Economic Resilience with Excellent Affordability.</v>
      </c>
      <c r="AO224" t="s">
        <v>325</v>
      </c>
      <c r="AP224" t="s">
        <v>40</v>
      </c>
    </row>
    <row r="225" spans="1:42" x14ac:dyDescent="0.4">
      <c r="A225" t="str">
        <f t="shared" si="6"/>
        <v>NETHERLAND|2026</v>
      </c>
      <c r="B225" s="1" t="s">
        <v>239</v>
      </c>
      <c r="C225" s="1">
        <v>2026</v>
      </c>
      <c r="D225" s="4">
        <v>120063810405112</v>
      </c>
      <c r="E225" s="3">
        <v>5.5082341569999999E-2</v>
      </c>
      <c r="F225" s="2">
        <v>8302201675</v>
      </c>
      <c r="G225" s="3">
        <v>8.575306441E-3</v>
      </c>
      <c r="H225" s="4">
        <v>1332303759302</v>
      </c>
      <c r="I225" s="3">
        <v>4.7408615799999998E-2</v>
      </c>
      <c r="J225" s="2">
        <v>18498615.629999999</v>
      </c>
      <c r="K225" s="3">
        <v>5.3595453410000002E-3</v>
      </c>
      <c r="L225" s="3">
        <v>1.1096630660000001E-2</v>
      </c>
      <c r="M225" s="4">
        <v>847544957143</v>
      </c>
      <c r="N225" s="4">
        <v>959910128571</v>
      </c>
      <c r="O225" s="4">
        <v>112365171429</v>
      </c>
      <c r="P225" s="3">
        <v>8.4339003509999996E-2</v>
      </c>
      <c r="Q225" s="3">
        <v>0.42450007750000002</v>
      </c>
      <c r="R225" s="3">
        <v>-1.9630305949999999E-2</v>
      </c>
      <c r="S225" s="4">
        <v>565563049106</v>
      </c>
      <c r="T225" s="3">
        <v>4.2999999999999997E-2</v>
      </c>
      <c r="U225" s="4">
        <v>24319211112</v>
      </c>
      <c r="V225" s="3">
        <v>1.825350333E-2</v>
      </c>
      <c r="W225" s="3">
        <v>4.7972524289999999E-2</v>
      </c>
      <c r="X225" s="4">
        <v>72021.808860000005</v>
      </c>
      <c r="Y225" s="4">
        <v>68566.740879999998</v>
      </c>
      <c r="Z225" s="6">
        <v>0.96319701729999996</v>
      </c>
      <c r="AA225" s="3">
        <v>8.5832642039999994E-3</v>
      </c>
      <c r="AB225" s="6">
        <v>0.25722218029999999</v>
      </c>
      <c r="AC225" s="3">
        <v>-2.63500591E-2</v>
      </c>
      <c r="AD225" s="6">
        <v>0.70597483699999997</v>
      </c>
      <c r="AE225" s="3">
        <v>0.18543750000000001</v>
      </c>
      <c r="AF225" s="3">
        <v>0.1054375</v>
      </c>
      <c r="AG225" s="3">
        <v>0.1054375</v>
      </c>
      <c r="AH225" s="3">
        <v>6.0437499999999998E-2</v>
      </c>
      <c r="AI225" s="3">
        <v>0.45674999999999999</v>
      </c>
      <c r="AJ225" s="6">
        <v>0.53393213080000002</v>
      </c>
      <c r="AK225" s="4">
        <v>48406.393709999997</v>
      </c>
      <c r="AL225" t="s">
        <v>58</v>
      </c>
      <c r="AM225" t="s">
        <v>243</v>
      </c>
      <c r="AN225" t="str">
        <f t="shared" si="7"/>
        <v>Excellent Economic Resilience with Excellent Affordability.</v>
      </c>
      <c r="AP225" t="s">
        <v>40</v>
      </c>
    </row>
    <row r="226" spans="1:42" x14ac:dyDescent="0.4">
      <c r="A226" t="str">
        <f t="shared" si="6"/>
        <v>NETHERLAND|2027</v>
      </c>
      <c r="B226" s="1" t="s">
        <v>239</v>
      </c>
      <c r="C226" s="1">
        <v>2027</v>
      </c>
      <c r="D226" s="4">
        <v>125735541889780</v>
      </c>
      <c r="E226" s="3">
        <v>4.7239309379999997E-2</v>
      </c>
      <c r="F226" s="2">
        <v>8372937901</v>
      </c>
      <c r="G226" s="3">
        <v>8.5201768609999996E-3</v>
      </c>
      <c r="H226" s="4">
        <v>1395677719795</v>
      </c>
      <c r="I226" s="3">
        <v>4.7567200839999997E-2</v>
      </c>
      <c r="J226" s="2">
        <v>18645708.57</v>
      </c>
      <c r="K226" s="3">
        <v>7.9515644919999993E-3</v>
      </c>
      <c r="L226" s="3">
        <v>1.1100105020000001E-2</v>
      </c>
      <c r="M226" s="4">
        <v>862475789286</v>
      </c>
      <c r="N226" s="4">
        <v>977339775000</v>
      </c>
      <c r="O226" s="4">
        <v>114863985714</v>
      </c>
      <c r="P226" s="3">
        <v>8.2299791770000005E-2</v>
      </c>
      <c r="Q226" s="3">
        <v>0.41407393100000001</v>
      </c>
      <c r="R226" s="3">
        <v>-2.4561000329999999E-2</v>
      </c>
      <c r="S226" s="4">
        <v>577913759815</v>
      </c>
      <c r="T226" s="3">
        <v>5.0035714289999998E-2</v>
      </c>
      <c r="U226" s="4">
        <v>28916327768</v>
      </c>
      <c r="V226" s="3">
        <v>2.07184849E-2</v>
      </c>
      <c r="W226" s="3">
        <v>5.0369575360000002E-2</v>
      </c>
      <c r="X226" s="4">
        <v>74852.490300000005</v>
      </c>
      <c r="Y226" s="4">
        <v>71082.202149999997</v>
      </c>
      <c r="Z226" s="6">
        <v>0.96902228960000003</v>
      </c>
      <c r="AA226" s="3">
        <v>6.047851301E-3</v>
      </c>
      <c r="AB226" s="6">
        <v>0.25295265579999998</v>
      </c>
      <c r="AC226" s="3">
        <v>-1.6878749490000001E-2</v>
      </c>
      <c r="AD226" s="6">
        <v>0.71606963379999999</v>
      </c>
      <c r="AE226" s="3">
        <v>0.19114687499999999</v>
      </c>
      <c r="AF226" s="3">
        <v>0.11114687500000001</v>
      </c>
      <c r="AG226" s="3">
        <v>0.11114687500000001</v>
      </c>
      <c r="AH226" s="3">
        <v>6.6146874999999994E-2</v>
      </c>
      <c r="AI226" s="3">
        <v>0.4795875</v>
      </c>
      <c r="AJ226" s="6">
        <v>0.55226891190000005</v>
      </c>
      <c r="AK226" s="4">
        <v>50899.80646</v>
      </c>
      <c r="AL226" t="s">
        <v>62</v>
      </c>
      <c r="AM226" t="s">
        <v>244</v>
      </c>
      <c r="AN226" t="str">
        <f t="shared" si="7"/>
        <v>Excellent Economic Resilience with Superb Affordability.</v>
      </c>
      <c r="AP226" t="s">
        <v>40</v>
      </c>
    </row>
    <row r="227" spans="1:42" x14ac:dyDescent="0.4">
      <c r="A227" t="str">
        <f t="shared" si="6"/>
        <v>NETHERLAND|2028</v>
      </c>
      <c r="B227" s="1" t="s">
        <v>239</v>
      </c>
      <c r="C227" s="1">
        <v>2028</v>
      </c>
      <c r="D227" s="4">
        <v>131237442252096</v>
      </c>
      <c r="E227" s="3">
        <v>4.375771782E-2</v>
      </c>
      <c r="F227" s="2">
        <v>8443822776</v>
      </c>
      <c r="G227" s="3">
        <v>8.465950178E-3</v>
      </c>
      <c r="H227" s="4">
        <v>1460672373050</v>
      </c>
      <c r="I227" s="3">
        <v>4.656852534E-2</v>
      </c>
      <c r="J227" s="2">
        <v>18809655.48</v>
      </c>
      <c r="K227" s="3">
        <v>8.7927425070000002E-3</v>
      </c>
      <c r="L227" s="3">
        <v>1.112999726E-2</v>
      </c>
      <c r="M227" s="4">
        <v>877406621429</v>
      </c>
      <c r="N227" s="4">
        <v>994769421429</v>
      </c>
      <c r="O227" s="4">
        <v>117362800000</v>
      </c>
      <c r="P227" s="3">
        <v>8.0348476609999997E-2</v>
      </c>
      <c r="Q227" s="3">
        <v>0.40303331460000003</v>
      </c>
      <c r="R227" s="3">
        <v>-2.666339404E-2</v>
      </c>
      <c r="S227" s="4">
        <v>588699628048</v>
      </c>
      <c r="T227" s="3">
        <v>5.7071428569999999E-2</v>
      </c>
      <c r="U227" s="4">
        <v>33597928772</v>
      </c>
      <c r="V227" s="3">
        <v>2.3001687029999999E-2</v>
      </c>
      <c r="W227" s="3">
        <v>5.2766626429999998E-2</v>
      </c>
      <c r="X227" s="4">
        <v>77655.455960000007</v>
      </c>
      <c r="Y227" s="4">
        <v>73557.839529999997</v>
      </c>
      <c r="Z227" s="6">
        <v>0.97404149819999997</v>
      </c>
      <c r="AA227" s="3">
        <v>5.1796626299999999E-3</v>
      </c>
      <c r="AB227" s="6">
        <v>0.2495369154</v>
      </c>
      <c r="AC227" s="3">
        <v>-1.368831693E-2</v>
      </c>
      <c r="AD227" s="6">
        <v>0.72450458269999995</v>
      </c>
      <c r="AE227" s="3">
        <v>0.1971417188</v>
      </c>
      <c r="AF227" s="3">
        <v>0.1171417188</v>
      </c>
      <c r="AG227" s="3">
        <v>0.1171417188</v>
      </c>
      <c r="AH227" s="3">
        <v>7.214171875E-2</v>
      </c>
      <c r="AI227" s="3">
        <v>0.50356687499999997</v>
      </c>
      <c r="AJ227" s="6">
        <v>0.57204366179999999</v>
      </c>
      <c r="AK227" s="4">
        <v>53292.991829999999</v>
      </c>
      <c r="AL227" t="s">
        <v>62</v>
      </c>
      <c r="AM227" t="s">
        <v>245</v>
      </c>
      <c r="AN227" t="str">
        <f t="shared" si="7"/>
        <v>Excellent Economic Resilience with Superb Affordability.</v>
      </c>
      <c r="AP227" t="s">
        <v>40</v>
      </c>
    </row>
    <row r="228" spans="1:42" x14ac:dyDescent="0.4">
      <c r="A228" t="str">
        <f t="shared" si="6"/>
        <v>NETHERLAND|2029</v>
      </c>
      <c r="B228" s="1" t="s">
        <v>239</v>
      </c>
      <c r="C228" s="1">
        <v>2029</v>
      </c>
      <c r="D228" s="4">
        <v>136712479650225</v>
      </c>
      <c r="E228" s="3">
        <v>4.1718562200000003E-2</v>
      </c>
      <c r="F228" s="2">
        <v>8514849364</v>
      </c>
      <c r="G228" s="3">
        <v>8.4116624760000001E-3</v>
      </c>
      <c r="H228" s="4">
        <v>1526748198800</v>
      </c>
      <c r="I228" s="3">
        <v>4.523658212E-2</v>
      </c>
      <c r="J228" s="2">
        <v>18979862.059999999</v>
      </c>
      <c r="K228" s="3">
        <v>9.0488937039999995E-3</v>
      </c>
      <c r="L228" s="3">
        <v>1.116758472E-2</v>
      </c>
      <c r="M228" s="4">
        <v>892337453571</v>
      </c>
      <c r="N228" s="4">
        <v>1011494343254</v>
      </c>
      <c r="O228" s="4">
        <v>119156889683</v>
      </c>
      <c r="P228" s="3">
        <v>7.8046196339999999E-2</v>
      </c>
      <c r="Q228" s="3">
        <v>0.39180996880000002</v>
      </c>
      <c r="R228" s="3">
        <v>-2.7847191300000001E-2</v>
      </c>
      <c r="S228" s="4">
        <v>598195164112</v>
      </c>
      <c r="T228" s="3">
        <v>6.4107142859999994E-2</v>
      </c>
      <c r="U228" s="4">
        <v>38348582842</v>
      </c>
      <c r="V228" s="3">
        <v>2.5117817640000002E-2</v>
      </c>
      <c r="W228" s="3">
        <v>5.5163677500000001E-2</v>
      </c>
      <c r="X228" s="4">
        <v>80440.426500000001</v>
      </c>
      <c r="Y228" s="4">
        <v>76003.036760000003</v>
      </c>
      <c r="Z228" s="6">
        <v>0.97877637510000004</v>
      </c>
      <c r="AA228" s="3">
        <v>4.8610627950000001E-3</v>
      </c>
      <c r="AB228" s="6">
        <v>0.2464279466</v>
      </c>
      <c r="AC228" s="3">
        <v>-1.2616137370000001E-2</v>
      </c>
      <c r="AD228" s="6">
        <v>0.73234842850000004</v>
      </c>
      <c r="AE228" s="3">
        <v>0.20343630469999999</v>
      </c>
      <c r="AF228" s="3">
        <v>0.1234363047</v>
      </c>
      <c r="AG228" s="3">
        <v>0.1234363047</v>
      </c>
      <c r="AH228" s="3">
        <v>7.843630469E-2</v>
      </c>
      <c r="AI228" s="3">
        <v>0.52874521880000003</v>
      </c>
      <c r="AJ228" s="6">
        <v>0.59284118220000004</v>
      </c>
      <c r="AK228" s="4">
        <v>55660.704530000003</v>
      </c>
      <c r="AL228" t="s">
        <v>62</v>
      </c>
      <c r="AM228" t="s">
        <v>246</v>
      </c>
      <c r="AN228" t="str">
        <f t="shared" si="7"/>
        <v>Excellent Economic Resilience with Superb Affordability.</v>
      </c>
      <c r="AP228" t="s">
        <v>40</v>
      </c>
    </row>
    <row r="229" spans="1:42" x14ac:dyDescent="0.4">
      <c r="A229" t="str">
        <f t="shared" si="6"/>
        <v>NETHERLAND|2030</v>
      </c>
      <c r="B229" s="1" t="s">
        <v>239</v>
      </c>
      <c r="C229" s="1">
        <v>2030</v>
      </c>
      <c r="D229" s="4">
        <v>141834754671550</v>
      </c>
      <c r="E229" s="3"/>
      <c r="F229" s="2">
        <v>8586617399</v>
      </c>
      <c r="G229" s="3"/>
      <c r="H229" s="4">
        <v>1592290895208</v>
      </c>
      <c r="I229" s="3"/>
      <c r="J229" s="2">
        <v>19184860.84</v>
      </c>
      <c r="K229" s="3"/>
      <c r="L229" s="3">
        <v>1.12263803E-2</v>
      </c>
      <c r="M229" s="4">
        <v>907268285714</v>
      </c>
      <c r="N229" s="4">
        <v>1027872710494</v>
      </c>
      <c r="O229" s="4">
        <v>120604424780</v>
      </c>
      <c r="P229" s="3">
        <v>7.5742708280000001E-2</v>
      </c>
      <c r="Q229" s="3">
        <v>0.38055205219999999</v>
      </c>
      <c r="R229" s="3"/>
      <c r="S229" s="4">
        <v>605949567843</v>
      </c>
      <c r="T229" s="3">
        <v>7.1142857140000001E-2</v>
      </c>
      <c r="U229" s="4">
        <v>43108983541</v>
      </c>
      <c r="V229" s="3">
        <v>2.7073560279999999E-2</v>
      </c>
      <c r="W229" s="3">
        <v>5.7560728569999997E-2</v>
      </c>
      <c r="X229" s="4">
        <v>82997.260649999997</v>
      </c>
      <c r="Y229" s="4">
        <v>78219.877850000004</v>
      </c>
      <c r="Z229" s="6">
        <v>0.98340917839999997</v>
      </c>
      <c r="AA229" s="3"/>
      <c r="AB229" s="6">
        <v>0.24343642970000001</v>
      </c>
      <c r="AC229" s="3"/>
      <c r="AD229" s="6">
        <v>0.73997274859999995</v>
      </c>
      <c r="AE229" s="3">
        <v>0.21004561990000001</v>
      </c>
      <c r="AF229" s="3">
        <v>0.13004561989999999</v>
      </c>
      <c r="AG229" s="3">
        <v>0.13004561989999999</v>
      </c>
      <c r="AH229" s="3">
        <v>8.5045619919999996E-2</v>
      </c>
      <c r="AI229" s="3">
        <v>0.55518247970000001</v>
      </c>
      <c r="AJ229" s="6">
        <v>0.61507800800000001</v>
      </c>
      <c r="AK229" s="4">
        <v>57880.578009999997</v>
      </c>
      <c r="AL229" t="s">
        <v>62</v>
      </c>
      <c r="AM229" t="s">
        <v>247</v>
      </c>
      <c r="AN229" t="str">
        <f t="shared" si="7"/>
        <v>Excellent Economic Resilience with Superb Affordability.</v>
      </c>
      <c r="AP229" t="s">
        <v>40</v>
      </c>
    </row>
    <row r="230" spans="1:42" x14ac:dyDescent="0.4">
      <c r="A230" t="str">
        <f t="shared" si="6"/>
        <v>SWITZERLAND|2019</v>
      </c>
      <c r="B230" s="1" t="s">
        <v>302</v>
      </c>
      <c r="C230" s="1">
        <v>2019</v>
      </c>
      <c r="D230" s="4">
        <v>87700000000000</v>
      </c>
      <c r="E230" s="3"/>
      <c r="F230" s="2">
        <v>7810000000</v>
      </c>
      <c r="G230" s="3"/>
      <c r="H230" s="4">
        <v>721369100000</v>
      </c>
      <c r="I230" s="3"/>
      <c r="J230" s="2">
        <v>8575280</v>
      </c>
      <c r="K230" s="3"/>
      <c r="L230" s="3">
        <v>8.2254173319999992E-3</v>
      </c>
      <c r="M230" s="4">
        <v>412350600000</v>
      </c>
      <c r="N230" s="4">
        <v>483067700000</v>
      </c>
      <c r="O230" s="4">
        <v>70717100000</v>
      </c>
      <c r="P230" s="3">
        <v>9.8031784280000006E-2</v>
      </c>
      <c r="Q230" s="3">
        <v>0.18954260000000001</v>
      </c>
      <c r="R230" s="3"/>
      <c r="S230" s="4">
        <v>136730174774</v>
      </c>
      <c r="T230" s="3">
        <v>2.7396650000000002E-2</v>
      </c>
      <c r="U230" s="4">
        <v>3745948743</v>
      </c>
      <c r="V230" s="3">
        <v>5.1928322720000003E-3</v>
      </c>
      <c r="W230" s="3">
        <v>0</v>
      </c>
      <c r="X230" s="4">
        <v>84121.929550000001</v>
      </c>
      <c r="Y230" s="4">
        <v>84121.929550000001</v>
      </c>
      <c r="Z230" s="6">
        <v>0.95</v>
      </c>
      <c r="AA230" s="3"/>
      <c r="AB230" s="6">
        <v>0.34</v>
      </c>
      <c r="AC230" s="3"/>
      <c r="AD230" s="6">
        <v>0.61</v>
      </c>
      <c r="AE230" s="3">
        <v>0.13119124309999999</v>
      </c>
      <c r="AF230" s="3">
        <v>8.9191243109999999E-2</v>
      </c>
      <c r="AG230" s="3">
        <v>7.4191243109999999E-2</v>
      </c>
      <c r="AH230" s="3">
        <v>2.5191243110000001E-2</v>
      </c>
      <c r="AI230" s="3">
        <v>0.31976497240000001</v>
      </c>
      <c r="AJ230" s="6">
        <v>0.42082934179999998</v>
      </c>
      <c r="AK230" s="4">
        <v>51314.37702</v>
      </c>
      <c r="AL230" t="s">
        <v>62</v>
      </c>
      <c r="AM230" t="s">
        <v>248</v>
      </c>
      <c r="AN230" t="str">
        <f t="shared" si="7"/>
        <v>Good Economic Resilience with Superb Affordability.</v>
      </c>
      <c r="AP230" t="s">
        <v>40</v>
      </c>
    </row>
    <row r="231" spans="1:42" x14ac:dyDescent="0.4">
      <c r="A231" t="str">
        <f t="shared" si="6"/>
        <v>SWITZERLAND|2020</v>
      </c>
      <c r="B231" s="1" t="s">
        <v>302</v>
      </c>
      <c r="C231" s="1">
        <v>2020</v>
      </c>
      <c r="D231" s="4">
        <v>84750000000000</v>
      </c>
      <c r="E231" s="3">
        <v>-3.3637400230000003E-2</v>
      </c>
      <c r="F231" s="2">
        <v>7890000000</v>
      </c>
      <c r="G231" s="3">
        <v>1.0243277849999999E-2</v>
      </c>
      <c r="H231" s="4">
        <v>741999400000</v>
      </c>
      <c r="I231" s="3">
        <v>2.8598813010000002E-2</v>
      </c>
      <c r="J231" s="2">
        <v>8638167</v>
      </c>
      <c r="K231" s="3">
        <v>7.3335214710000002E-3</v>
      </c>
      <c r="L231" s="3">
        <v>8.7551551620000008E-3</v>
      </c>
      <c r="M231" s="4">
        <v>428062600000</v>
      </c>
      <c r="N231" s="4">
        <v>475588700000</v>
      </c>
      <c r="O231" s="4">
        <v>47526100000</v>
      </c>
      <c r="P231" s="3">
        <v>6.4051399499999995E-2</v>
      </c>
      <c r="Q231" s="5">
        <v>0.20852108</v>
      </c>
      <c r="R231" s="3">
        <v>0.1001277813</v>
      </c>
      <c r="S231" s="4">
        <v>154722516247</v>
      </c>
      <c r="T231" s="3">
        <v>3.3575099999999997E-2</v>
      </c>
      <c r="U231" s="4">
        <v>5194823955</v>
      </c>
      <c r="V231" s="3">
        <v>7.0011161129999999E-3</v>
      </c>
      <c r="W231" s="3">
        <v>0</v>
      </c>
      <c r="X231" s="4">
        <v>85897.783639999994</v>
      </c>
      <c r="Y231" s="4">
        <v>85897.783639999994</v>
      </c>
      <c r="Z231" s="6">
        <v>0.96</v>
      </c>
      <c r="AA231" s="3">
        <v>1.0526315790000001E-2</v>
      </c>
      <c r="AB231" s="6">
        <v>0.33700000000000002</v>
      </c>
      <c r="AC231" s="3">
        <v>-8.9020771510000003E-3</v>
      </c>
      <c r="AD231" s="6">
        <v>0.623</v>
      </c>
      <c r="AE231" s="3">
        <v>0.135398677</v>
      </c>
      <c r="AF231" s="3">
        <v>9.3398676949999995E-2</v>
      </c>
      <c r="AG231" s="3">
        <v>7.8398676949999996E-2</v>
      </c>
      <c r="AH231" s="3">
        <v>2.9398676950000001E-2</v>
      </c>
      <c r="AI231" s="3">
        <v>0.3365947078</v>
      </c>
      <c r="AJ231" s="6">
        <v>0.40240014639999999</v>
      </c>
      <c r="AK231" s="4">
        <v>53514.319210000001</v>
      </c>
      <c r="AL231" t="s">
        <v>62</v>
      </c>
      <c r="AM231" t="s">
        <v>249</v>
      </c>
      <c r="AN231" t="str">
        <f t="shared" si="7"/>
        <v>Satisfactory Economic Resilience with Superb Affordability.</v>
      </c>
      <c r="AP231" t="s">
        <v>40</v>
      </c>
    </row>
    <row r="232" spans="1:42" x14ac:dyDescent="0.4">
      <c r="A232" t="str">
        <f t="shared" si="6"/>
        <v>SWITZERLAND|2021</v>
      </c>
      <c r="B232" s="1" t="s">
        <v>302</v>
      </c>
      <c r="C232" s="1">
        <v>2021</v>
      </c>
      <c r="D232" s="4">
        <v>96140000000000</v>
      </c>
      <c r="E232" s="3">
        <v>0.13439528019999999</v>
      </c>
      <c r="F232" s="2">
        <v>7950000000</v>
      </c>
      <c r="G232" s="3">
        <v>7.6045627380000001E-3</v>
      </c>
      <c r="H232" s="4">
        <v>815309300000</v>
      </c>
      <c r="I232" s="3">
        <v>9.8800484209999997E-2</v>
      </c>
      <c r="J232" s="2">
        <v>8704546</v>
      </c>
      <c r="K232" s="3">
        <v>7.6843848930000002E-3</v>
      </c>
      <c r="L232" s="3">
        <v>8.4804379029999998E-3</v>
      </c>
      <c r="M232" s="4">
        <v>480193000000</v>
      </c>
      <c r="N232" s="4">
        <v>579841700000</v>
      </c>
      <c r="O232" s="4">
        <v>99648700000</v>
      </c>
      <c r="P232" s="3">
        <v>0.12222195919999999</v>
      </c>
      <c r="Q232" s="3">
        <v>0.19939191000000001</v>
      </c>
      <c r="R232" s="3">
        <v>-4.3780561660000002E-2</v>
      </c>
      <c r="S232" s="4">
        <v>162566078568</v>
      </c>
      <c r="T232" s="3">
        <v>1.301161E-2</v>
      </c>
      <c r="U232" s="4">
        <v>2115246414</v>
      </c>
      <c r="V232" s="3">
        <v>2.5944097700000002E-3</v>
      </c>
      <c r="W232" s="3">
        <v>0</v>
      </c>
      <c r="X232" s="4">
        <v>93664.770109999998</v>
      </c>
      <c r="Y232" s="4">
        <v>93664.770109999998</v>
      </c>
      <c r="Z232" s="6">
        <v>0.96</v>
      </c>
      <c r="AA232" s="3">
        <v>0</v>
      </c>
      <c r="AB232" s="7">
        <v>0.33799999999999902</v>
      </c>
      <c r="AC232" s="3">
        <v>2.9585798820000002E-3</v>
      </c>
      <c r="AD232" s="6">
        <v>0.622</v>
      </c>
      <c r="AE232" s="3">
        <v>0.1398275547</v>
      </c>
      <c r="AF232" s="3">
        <v>9.7827554689999999E-2</v>
      </c>
      <c r="AG232" s="3">
        <v>8.2827554689999999E-2</v>
      </c>
      <c r="AH232" s="3">
        <v>3.3827554689999997E-2</v>
      </c>
      <c r="AI232" s="3">
        <v>0.35431021880000002</v>
      </c>
      <c r="AJ232" s="6">
        <v>0.48241820610000002</v>
      </c>
      <c r="AK232" s="4">
        <v>58259.487009999997</v>
      </c>
      <c r="AL232" t="s">
        <v>62</v>
      </c>
      <c r="AM232" t="s">
        <v>250</v>
      </c>
      <c r="AN232" t="str">
        <f t="shared" si="7"/>
        <v>Good Economic Resilience with Superb Affordability.</v>
      </c>
      <c r="AP232" t="s">
        <v>40</v>
      </c>
    </row>
    <row r="233" spans="1:42" x14ac:dyDescent="0.4">
      <c r="A233" t="str">
        <f t="shared" si="6"/>
        <v>SWITZERLAND|2022</v>
      </c>
      <c r="B233" s="1" t="s">
        <v>302</v>
      </c>
      <c r="C233" s="1">
        <v>2022</v>
      </c>
      <c r="D233" s="4">
        <v>101560000000000</v>
      </c>
      <c r="E233" s="3">
        <v>5.6376118160000002E-2</v>
      </c>
      <c r="F233" s="2">
        <v>8020000000</v>
      </c>
      <c r="G233" s="3">
        <v>8.8050314469999991E-3</v>
      </c>
      <c r="H233" s="4">
        <v>828508900000</v>
      </c>
      <c r="I233" s="3">
        <v>1.618968409E-2</v>
      </c>
      <c r="J233" s="2">
        <v>8777088</v>
      </c>
      <c r="K233" s="3">
        <v>8.3338062660000007E-3</v>
      </c>
      <c r="L233" s="3">
        <v>8.1578268999999998E-3</v>
      </c>
      <c r="M233" s="4">
        <v>516665900000</v>
      </c>
      <c r="N233" s="4">
        <v>630824800000</v>
      </c>
      <c r="O233" s="4">
        <v>114158900000</v>
      </c>
      <c r="P233" s="3">
        <v>0.13778838099999999</v>
      </c>
      <c r="Q233" s="3">
        <v>0.17586186000000001</v>
      </c>
      <c r="R233" s="3">
        <v>-0.1180090506</v>
      </c>
      <c r="S233" s="4">
        <v>145703116181</v>
      </c>
      <c r="T233" s="3">
        <v>-3.81724E-3</v>
      </c>
      <c r="U233" s="4">
        <v>-556183763.20000005</v>
      </c>
      <c r="V233" s="3">
        <v>-6.7130692649999997E-4</v>
      </c>
      <c r="W233" s="3">
        <v>0</v>
      </c>
      <c r="X233" s="4">
        <v>94394.507610000001</v>
      </c>
      <c r="Y233" s="4">
        <v>94394.507610000001</v>
      </c>
      <c r="Z233" s="6">
        <v>0.97</v>
      </c>
      <c r="AA233" s="3">
        <v>1.041666667E-2</v>
      </c>
      <c r="AB233" s="7">
        <v>0.33799999999999902</v>
      </c>
      <c r="AC233" s="3">
        <v>0</v>
      </c>
      <c r="AD233" s="6">
        <v>0.63200000000000001</v>
      </c>
      <c r="AE233" s="3">
        <v>0.1444895313</v>
      </c>
      <c r="AF233" s="3">
        <v>0.10248953130000001</v>
      </c>
      <c r="AG233" s="3">
        <v>8.7489531250000002E-2</v>
      </c>
      <c r="AH233" s="3">
        <v>3.848953125E-2</v>
      </c>
      <c r="AI233" s="3">
        <v>0.37295812499999997</v>
      </c>
      <c r="AJ233" s="6">
        <v>0.5195756399</v>
      </c>
      <c r="AK233" s="4">
        <v>59657.328809999999</v>
      </c>
      <c r="AL233" t="s">
        <v>62</v>
      </c>
      <c r="AM233" t="s">
        <v>251</v>
      </c>
      <c r="AN233" t="str">
        <f t="shared" si="7"/>
        <v>Excellent Economic Resilience with Superb Affordability.</v>
      </c>
      <c r="AP233" t="s">
        <v>40</v>
      </c>
    </row>
    <row r="234" spans="1:42" x14ac:dyDescent="0.4">
      <c r="A234" t="str">
        <f>_xlfn.CONCAT(UPPER(B234),"|",C234)</f>
        <v>SWITZERLAND|2023</v>
      </c>
      <c r="B234" s="1" t="s">
        <v>302</v>
      </c>
      <c r="C234" s="1">
        <v>2023</v>
      </c>
      <c r="D234" s="4">
        <v>106800000000000</v>
      </c>
      <c r="E234" s="3">
        <v>5.1595116189999998E-2</v>
      </c>
      <c r="F234" s="2">
        <v>8090000000</v>
      </c>
      <c r="G234" s="3">
        <v>8.7281795509999999E-3</v>
      </c>
      <c r="H234" s="4">
        <v>894424800000</v>
      </c>
      <c r="I234" s="3">
        <v>7.9559676430000004E-2</v>
      </c>
      <c r="J234" s="2">
        <v>8888822</v>
      </c>
      <c r="K234" s="3">
        <v>1.273019024E-2</v>
      </c>
      <c r="L234" s="3">
        <v>8.3747640450000001E-3</v>
      </c>
      <c r="M234" s="4">
        <v>554425700000</v>
      </c>
      <c r="N234" s="4">
        <v>655910000000</v>
      </c>
      <c r="O234" s="4">
        <v>101484300000</v>
      </c>
      <c r="P234" s="3">
        <v>0.1134632</v>
      </c>
      <c r="Q234" s="3">
        <v>0.19882299</v>
      </c>
      <c r="R234" s="3">
        <v>0.13056344340000001</v>
      </c>
      <c r="S234" s="4">
        <v>177832213066</v>
      </c>
      <c r="T234" s="3">
        <v>1.9503889999999999E-2</v>
      </c>
      <c r="U234" s="4">
        <v>3468419922</v>
      </c>
      <c r="V234" s="3">
        <v>3.8778217260000002E-3</v>
      </c>
      <c r="W234" s="3">
        <v>0</v>
      </c>
      <c r="X234" s="4">
        <v>100623.5472</v>
      </c>
      <c r="Y234" s="4">
        <v>100623.5472</v>
      </c>
      <c r="Z234" s="6">
        <v>0.97</v>
      </c>
      <c r="AA234" s="3">
        <v>0</v>
      </c>
      <c r="AB234" s="6">
        <v>0.32650000000000001</v>
      </c>
      <c r="AC234" s="3">
        <v>-3.5222052070000003E-2</v>
      </c>
      <c r="AD234" s="6">
        <v>0.64349999999999996</v>
      </c>
      <c r="AE234" s="3">
        <v>0.14939687500000001</v>
      </c>
      <c r="AF234" s="3">
        <v>0.107396875</v>
      </c>
      <c r="AG234" s="3">
        <v>9.2396875000000003E-2</v>
      </c>
      <c r="AH234" s="3">
        <v>4.3396875000000001E-2</v>
      </c>
      <c r="AI234" s="3">
        <v>0.39258749999999998</v>
      </c>
      <c r="AJ234" s="6">
        <v>0.51054764239999995</v>
      </c>
      <c r="AK234" s="4">
        <v>64751.252619999999</v>
      </c>
      <c r="AL234" t="s">
        <v>62</v>
      </c>
      <c r="AM234" t="s">
        <v>252</v>
      </c>
      <c r="AN234" t="str">
        <f t="shared" si="7"/>
        <v>Excellent Economic Resilience with Superb Affordability.</v>
      </c>
      <c r="AP234" t="s">
        <v>40</v>
      </c>
    </row>
    <row r="235" spans="1:42" x14ac:dyDescent="0.4">
      <c r="A235" t="str">
        <f t="shared" si="6"/>
        <v>SWITZERLAND|2024</v>
      </c>
      <c r="B235" s="1" t="s">
        <v>302</v>
      </c>
      <c r="C235" s="1">
        <v>2024</v>
      </c>
      <c r="D235" s="4">
        <v>112600000000000</v>
      </c>
      <c r="E235" s="3">
        <v>5.4307116099999997E-2</v>
      </c>
      <c r="F235" s="2">
        <v>8161972572</v>
      </c>
      <c r="G235" s="3">
        <v>8.8964860320000002E-3</v>
      </c>
      <c r="H235" s="4">
        <v>936564200000</v>
      </c>
      <c r="I235" s="3">
        <v>4.7113407410000002E-2</v>
      </c>
      <c r="J235" s="2">
        <v>9005582</v>
      </c>
      <c r="K235" s="3">
        <v>1.3135598849999999E-2</v>
      </c>
      <c r="L235" s="3">
        <v>8.3176216700000007E-3</v>
      </c>
      <c r="M235" s="4">
        <v>580072300000</v>
      </c>
      <c r="N235" s="4">
        <v>675814800000</v>
      </c>
      <c r="O235" s="4">
        <v>95742500000</v>
      </c>
      <c r="P235" s="3">
        <v>0.10222737530000001</v>
      </c>
      <c r="Q235" s="3">
        <v>0.28891149500000002</v>
      </c>
      <c r="R235" s="3">
        <v>0.45310909469999999</v>
      </c>
      <c r="S235" s="4">
        <v>270584163185</v>
      </c>
      <c r="T235" s="3">
        <v>1.6659469999999999E-2</v>
      </c>
      <c r="U235" s="4">
        <v>4507788749</v>
      </c>
      <c r="V235" s="3">
        <v>4.8131123839999998E-3</v>
      </c>
      <c r="W235" s="3">
        <v>0</v>
      </c>
      <c r="X235" s="4">
        <v>103998.1869</v>
      </c>
      <c r="Y235" s="4">
        <v>103998.1869</v>
      </c>
      <c r="Z235" s="6">
        <v>0.97</v>
      </c>
      <c r="AA235" s="3">
        <v>0</v>
      </c>
      <c r="AB235" s="6">
        <v>0.32074999999999998</v>
      </c>
      <c r="AC235" s="3">
        <v>-1.7926734220000001E-2</v>
      </c>
      <c r="AD235" s="6">
        <v>0.64924999999999999</v>
      </c>
      <c r="AE235" s="3">
        <v>0.15456249999999999</v>
      </c>
      <c r="AF235" s="3">
        <v>0.1125625</v>
      </c>
      <c r="AG235" s="3">
        <v>9.7562499999999996E-2</v>
      </c>
      <c r="AH235" s="3">
        <v>4.8562500000000001E-2</v>
      </c>
      <c r="AI235" s="3">
        <v>0.41325000000000001</v>
      </c>
      <c r="AJ235" s="6">
        <v>0.51898188460000005</v>
      </c>
      <c r="AK235" s="4">
        <v>67520.822849999997</v>
      </c>
      <c r="AL235" t="s">
        <v>62</v>
      </c>
      <c r="AM235" t="s">
        <v>251</v>
      </c>
      <c r="AN235" t="str">
        <f t="shared" si="7"/>
        <v>Excellent Economic Resilience with Superb Affordability.</v>
      </c>
      <c r="AP235" t="s">
        <v>40</v>
      </c>
    </row>
    <row r="236" spans="1:42" x14ac:dyDescent="0.4">
      <c r="A236" t="str">
        <f t="shared" si="6"/>
        <v>SWITZERLAND|2025</v>
      </c>
      <c r="B236" s="1" t="s">
        <v>302</v>
      </c>
      <c r="C236" s="1">
        <v>2025</v>
      </c>
      <c r="D236" s="4">
        <v>113795678000000</v>
      </c>
      <c r="E236" s="3">
        <v>1.061880995E-2</v>
      </c>
      <c r="F236" s="2">
        <v>8231613070</v>
      </c>
      <c r="G236" s="3">
        <v>8.5323121809999999E-3</v>
      </c>
      <c r="H236" s="4">
        <v>947000000000</v>
      </c>
      <c r="I236" s="3">
        <v>1.1142642439999999E-2</v>
      </c>
      <c r="J236" s="2">
        <v>9100000</v>
      </c>
      <c r="K236" s="3">
        <v>1.0484386240000001E-2</v>
      </c>
      <c r="L236" s="3">
        <v>8.3219329299999995E-3</v>
      </c>
      <c r="M236" s="4">
        <v>409100000000</v>
      </c>
      <c r="N236" s="4">
        <v>484580000000</v>
      </c>
      <c r="O236" s="4">
        <v>75480000000</v>
      </c>
      <c r="P236" s="3">
        <v>7.9704329460000001E-2</v>
      </c>
      <c r="Q236" s="3">
        <v>0.379</v>
      </c>
      <c r="R236" s="3">
        <v>0.31182042450000003</v>
      </c>
      <c r="S236" s="4">
        <v>358913000000</v>
      </c>
      <c r="T236" s="3">
        <v>0</v>
      </c>
      <c r="U236" s="4">
        <v>0</v>
      </c>
      <c r="V236" s="3">
        <v>0</v>
      </c>
      <c r="W236" s="3">
        <v>0</v>
      </c>
      <c r="X236" s="4">
        <v>104065.9341</v>
      </c>
      <c r="Y236" s="4">
        <v>104065.9341</v>
      </c>
      <c r="Z236" s="6">
        <v>0.97</v>
      </c>
      <c r="AA236" s="3">
        <v>0</v>
      </c>
      <c r="AB236" s="6">
        <v>0.315</v>
      </c>
      <c r="AC236" s="3">
        <v>-1.8253968249999999E-2</v>
      </c>
      <c r="AD236" s="6">
        <v>0.65500000000000003</v>
      </c>
      <c r="AE236" s="3">
        <v>0.16</v>
      </c>
      <c r="AF236" s="3">
        <v>0.11799999999999999</v>
      </c>
      <c r="AG236" s="3">
        <v>0.10299999999999999</v>
      </c>
      <c r="AH236" s="3">
        <v>5.3999999999999999E-2</v>
      </c>
      <c r="AI236" s="3">
        <v>0.435</v>
      </c>
      <c r="AJ236" s="6">
        <v>0.52302626240000005</v>
      </c>
      <c r="AK236" s="4">
        <v>68163.186809999999</v>
      </c>
      <c r="AL236" t="s">
        <v>62</v>
      </c>
      <c r="AM236" t="s">
        <v>251</v>
      </c>
      <c r="AN236" t="str">
        <f t="shared" si="7"/>
        <v>Excellent Economic Resilience with Superb Affordability.</v>
      </c>
      <c r="AO236" t="s">
        <v>326</v>
      </c>
      <c r="AP236" t="s">
        <v>40</v>
      </c>
    </row>
    <row r="237" spans="1:42" x14ac:dyDescent="0.4">
      <c r="A237" t="str">
        <f t="shared" si="6"/>
        <v>SWITZERLAND|2026</v>
      </c>
      <c r="B237" s="1" t="s">
        <v>302</v>
      </c>
      <c r="C237" s="1">
        <v>2026</v>
      </c>
      <c r="D237" s="4">
        <v>120063810405112</v>
      </c>
      <c r="E237" s="3">
        <v>5.5082341569999999E-2</v>
      </c>
      <c r="F237" s="2">
        <v>8302201675</v>
      </c>
      <c r="G237" s="3">
        <v>8.575306441E-3</v>
      </c>
      <c r="H237" s="4">
        <v>997872771506</v>
      </c>
      <c r="I237" s="3">
        <v>5.3719927670000001E-2</v>
      </c>
      <c r="J237" s="2">
        <v>9179756.1459999997</v>
      </c>
      <c r="K237" s="3">
        <v>8.7644116470000002E-3</v>
      </c>
      <c r="L237" s="3">
        <v>8.3111869279999997E-3</v>
      </c>
      <c r="M237" s="4">
        <v>535624342857</v>
      </c>
      <c r="N237" s="4">
        <v>638097871429</v>
      </c>
      <c r="O237" s="4">
        <v>102473528571</v>
      </c>
      <c r="P237" s="3">
        <v>0.10269197789999999</v>
      </c>
      <c r="Q237" s="3">
        <v>0.3850234555</v>
      </c>
      <c r="R237" s="3">
        <v>1.5893022430000001E-2</v>
      </c>
      <c r="S237" s="4">
        <v>384204422634</v>
      </c>
      <c r="T237" s="3">
        <v>-4.5706428569999998E-4</v>
      </c>
      <c r="U237" s="4">
        <v>-175606120</v>
      </c>
      <c r="V237" s="3">
        <v>-1.7598047070000001E-4</v>
      </c>
      <c r="W237" s="3">
        <v>0</v>
      </c>
      <c r="X237" s="4">
        <v>108703.62519999999</v>
      </c>
      <c r="Y237" s="4">
        <v>108703.62519999999</v>
      </c>
      <c r="Z237" s="6">
        <v>0.97526431970000005</v>
      </c>
      <c r="AA237" s="3">
        <v>5.4271336630000002E-3</v>
      </c>
      <c r="AB237" s="6">
        <v>0.31234466090000002</v>
      </c>
      <c r="AC237" s="3">
        <v>-8.5013110270000004E-3</v>
      </c>
      <c r="AD237" s="6">
        <v>0.66291965880000003</v>
      </c>
      <c r="AE237" s="3">
        <v>0.16543749999999999</v>
      </c>
      <c r="AF237" s="3">
        <v>0.12343750000000001</v>
      </c>
      <c r="AG237" s="3">
        <v>0.10843750000000001</v>
      </c>
      <c r="AH237" s="3">
        <v>5.9437499999999997E-2</v>
      </c>
      <c r="AI237" s="3">
        <v>0.45674999999999999</v>
      </c>
      <c r="AJ237" s="6">
        <v>0.56792914530000005</v>
      </c>
      <c r="AK237" s="4">
        <v>72061.770120000001</v>
      </c>
      <c r="AL237" t="s">
        <v>62</v>
      </c>
      <c r="AM237" t="s">
        <v>245</v>
      </c>
      <c r="AN237" t="str">
        <f t="shared" si="7"/>
        <v>Excellent Economic Resilience with Superb Affordability.</v>
      </c>
      <c r="AP237" t="s">
        <v>40</v>
      </c>
    </row>
    <row r="238" spans="1:42" x14ac:dyDescent="0.4">
      <c r="A238" t="str">
        <f t="shared" si="6"/>
        <v>SWITZERLAND|2027</v>
      </c>
      <c r="B238" s="1" t="s">
        <v>302</v>
      </c>
      <c r="C238" s="1">
        <v>2027</v>
      </c>
      <c r="D238" s="4">
        <v>125735541889780</v>
      </c>
      <c r="E238" s="3">
        <v>4.7239309379999997E-2</v>
      </c>
      <c r="F238" s="2">
        <v>8372937901</v>
      </c>
      <c r="G238" s="3">
        <v>8.5201768609999996E-3</v>
      </c>
      <c r="H238" s="4">
        <v>1043822646385</v>
      </c>
      <c r="I238" s="3">
        <v>4.6047829130000002E-2</v>
      </c>
      <c r="J238" s="2">
        <v>9266473.9619999994</v>
      </c>
      <c r="K238" s="3">
        <v>9.4466361190000004E-3</v>
      </c>
      <c r="L238" s="3">
        <v>8.3017310039999997E-3</v>
      </c>
      <c r="M238" s="4">
        <v>548785067857</v>
      </c>
      <c r="N238" s="4">
        <v>655278492857</v>
      </c>
      <c r="O238" s="4">
        <v>106493425000</v>
      </c>
      <c r="P238" s="3">
        <v>0.1020225278</v>
      </c>
      <c r="Q238" s="3">
        <v>0.40974100450000001</v>
      </c>
      <c r="R238" s="3">
        <v>6.4197514789999993E-2</v>
      </c>
      <c r="S238" s="4">
        <v>427696939629</v>
      </c>
      <c r="T238" s="3">
        <v>-4.3688117859999997E-3</v>
      </c>
      <c r="U238" s="4">
        <v>-1868527431</v>
      </c>
      <c r="V238" s="3">
        <v>-1.790081329E-3</v>
      </c>
      <c r="W238" s="3">
        <v>0</v>
      </c>
      <c r="X238" s="4">
        <v>112645.0741</v>
      </c>
      <c r="Y238" s="4">
        <v>112645.0741</v>
      </c>
      <c r="Z238" s="6">
        <v>0.97917808500000003</v>
      </c>
      <c r="AA238" s="3">
        <v>4.0130303629999997E-3</v>
      </c>
      <c r="AB238" s="6">
        <v>0.30865570799999997</v>
      </c>
      <c r="AC238" s="3">
        <v>-1.1951675720000001E-2</v>
      </c>
      <c r="AD238" s="6">
        <v>0.67052237699999995</v>
      </c>
      <c r="AE238" s="3">
        <v>0.171146875</v>
      </c>
      <c r="AF238" s="3">
        <v>0.12914687499999999</v>
      </c>
      <c r="AG238" s="3">
        <v>0.11414687499999999</v>
      </c>
      <c r="AH238" s="3">
        <v>6.5146875000000007E-2</v>
      </c>
      <c r="AI238" s="3">
        <v>0.4795875</v>
      </c>
      <c r="AJ238" s="6">
        <v>0.59170184020000005</v>
      </c>
      <c r="AK238" s="4">
        <v>75531.042870000005</v>
      </c>
      <c r="AL238" t="s">
        <v>62</v>
      </c>
      <c r="AM238" t="s">
        <v>246</v>
      </c>
      <c r="AN238" t="str">
        <f t="shared" si="7"/>
        <v>Excellent Economic Resilience with Superb Affordability.</v>
      </c>
      <c r="AP238" t="s">
        <v>40</v>
      </c>
    </row>
    <row r="239" spans="1:42" x14ac:dyDescent="0.4">
      <c r="A239" t="str">
        <f t="shared" si="6"/>
        <v>SWITZERLAND|2028</v>
      </c>
      <c r="B239" s="1" t="s">
        <v>302</v>
      </c>
      <c r="C239" s="1">
        <v>2028</v>
      </c>
      <c r="D239" s="4">
        <v>131237442252096</v>
      </c>
      <c r="E239" s="3">
        <v>4.375771782E-2</v>
      </c>
      <c r="F239" s="2">
        <v>8443822776</v>
      </c>
      <c r="G239" s="3">
        <v>8.465950178E-3</v>
      </c>
      <c r="H239" s="4">
        <v>1088363288456</v>
      </c>
      <c r="I239" s="3">
        <v>4.2670699110000002E-2</v>
      </c>
      <c r="J239" s="2">
        <v>9355717.5109999999</v>
      </c>
      <c r="K239" s="3">
        <v>9.6307990699999995E-3</v>
      </c>
      <c r="L239" s="3">
        <v>8.2930851879999996E-3</v>
      </c>
      <c r="M239" s="4">
        <v>561945792857</v>
      </c>
      <c r="N239" s="4">
        <v>672459114286</v>
      </c>
      <c r="O239" s="4">
        <v>110513321429</v>
      </c>
      <c r="P239" s="3">
        <v>0.10154083899999999</v>
      </c>
      <c r="Q239" s="3">
        <v>0.44198280200000001</v>
      </c>
      <c r="R239" s="3">
        <v>7.8688237509999995E-2</v>
      </c>
      <c r="S239" s="4">
        <v>481037855780</v>
      </c>
      <c r="T239" s="3">
        <v>-8.2805592859999996E-3</v>
      </c>
      <c r="U239" s="4">
        <v>-3983262483</v>
      </c>
      <c r="V239" s="3">
        <v>-3.6598647949999999E-3</v>
      </c>
      <c r="W239" s="3">
        <v>0</v>
      </c>
      <c r="X239" s="4">
        <v>116331.35430000001</v>
      </c>
      <c r="Y239" s="4">
        <v>116331.35430000001</v>
      </c>
      <c r="Z239" s="6">
        <v>0.98263297049999998</v>
      </c>
      <c r="AA239" s="3">
        <v>3.5283525610000002E-3</v>
      </c>
      <c r="AB239" s="6">
        <v>0.30462484839999998</v>
      </c>
      <c r="AC239" s="3">
        <v>-1.3232208610000001E-2</v>
      </c>
      <c r="AD239" s="6">
        <v>0.67800812210000005</v>
      </c>
      <c r="AE239" s="3">
        <v>0.17714171879999999</v>
      </c>
      <c r="AF239" s="3">
        <v>0.1351417188</v>
      </c>
      <c r="AG239" s="3">
        <v>0.12014171880000001</v>
      </c>
      <c r="AH239" s="3">
        <v>7.1141718749999999E-2</v>
      </c>
      <c r="AI239" s="3">
        <v>0.50356687499999997</v>
      </c>
      <c r="AJ239" s="6">
        <v>0.61706066400000004</v>
      </c>
      <c r="AK239" s="4">
        <v>78873.603059999994</v>
      </c>
      <c r="AL239" t="s">
        <v>62</v>
      </c>
      <c r="AM239" t="s">
        <v>247</v>
      </c>
      <c r="AN239" t="str">
        <f t="shared" si="7"/>
        <v>Excellent Economic Resilience with Superb Affordability.</v>
      </c>
      <c r="AP239" t="s">
        <v>40</v>
      </c>
    </row>
    <row r="240" spans="1:42" x14ac:dyDescent="0.4">
      <c r="A240" t="str">
        <f t="shared" si="6"/>
        <v>SWITZERLAND|2029</v>
      </c>
      <c r="B240" s="1" t="s">
        <v>302</v>
      </c>
      <c r="C240" s="1">
        <v>2029</v>
      </c>
      <c r="D240" s="4">
        <v>136712479650225</v>
      </c>
      <c r="E240" s="3">
        <v>4.1718562200000003E-2</v>
      </c>
      <c r="F240" s="2">
        <v>8514849364</v>
      </c>
      <c r="G240" s="3">
        <v>8.4116624760000001E-3</v>
      </c>
      <c r="H240" s="4">
        <v>1132673224695</v>
      </c>
      <c r="I240" s="3">
        <v>4.0712450249999997E-2</v>
      </c>
      <c r="J240" s="2">
        <v>9445992.8509999998</v>
      </c>
      <c r="K240" s="3">
        <v>9.6492161599999998E-3</v>
      </c>
      <c r="L240" s="3">
        <v>8.2850755659999997E-3</v>
      </c>
      <c r="M240" s="4">
        <v>575106517857</v>
      </c>
      <c r="N240" s="4">
        <v>688534494345</v>
      </c>
      <c r="O240" s="4">
        <v>113427976488</v>
      </c>
      <c r="P240" s="3">
        <v>0.1001418362</v>
      </c>
      <c r="Q240" s="3">
        <v>0.47767386579999999</v>
      </c>
      <c r="R240" s="3">
        <v>8.0752155320000005E-2</v>
      </c>
      <c r="S240" s="4">
        <v>541048397962</v>
      </c>
      <c r="T240" s="3">
        <v>-1.2192306789999999E-2</v>
      </c>
      <c r="U240" s="4">
        <v>-6596628054</v>
      </c>
      <c r="V240" s="3">
        <v>-5.8239463159999996E-3</v>
      </c>
      <c r="W240" s="3">
        <v>0</v>
      </c>
      <c r="X240" s="4">
        <v>119910.447</v>
      </c>
      <c r="Y240" s="4">
        <v>119910.447</v>
      </c>
      <c r="Z240" s="6">
        <v>0.9859259226</v>
      </c>
      <c r="AA240" s="3">
        <v>3.351151691E-3</v>
      </c>
      <c r="AB240" s="6">
        <v>0.3004802479</v>
      </c>
      <c r="AC240" s="3">
        <v>-1.379325443E-2</v>
      </c>
      <c r="AD240" s="6">
        <v>0.68544567469999995</v>
      </c>
      <c r="AE240" s="3">
        <v>0.1834363047</v>
      </c>
      <c r="AF240" s="3">
        <v>0.14143630469999999</v>
      </c>
      <c r="AG240" s="3">
        <v>0.1264363047</v>
      </c>
      <c r="AH240" s="3">
        <v>7.7436304689999999E-2</v>
      </c>
      <c r="AI240" s="3">
        <v>0.52874521880000003</v>
      </c>
      <c r="AJ240" s="6">
        <v>0.64299607680000004</v>
      </c>
      <c r="AK240" s="4">
        <v>82192.097219999996</v>
      </c>
      <c r="AL240" t="s">
        <v>62</v>
      </c>
      <c r="AM240" t="s">
        <v>253</v>
      </c>
      <c r="AN240" t="str">
        <f t="shared" si="7"/>
        <v>Excellent Economic Resilience with Superb Affordability.</v>
      </c>
      <c r="AP240" t="s">
        <v>40</v>
      </c>
    </row>
    <row r="241" spans="1:42" x14ac:dyDescent="0.4">
      <c r="A241" t="str">
        <f t="shared" si="6"/>
        <v>SWITZERLAND|2030</v>
      </c>
      <c r="B241" s="1" t="s">
        <v>302</v>
      </c>
      <c r="C241" s="1">
        <v>2030</v>
      </c>
      <c r="D241" s="4">
        <v>141834754671550</v>
      </c>
      <c r="E241" s="3"/>
      <c r="F241" s="2">
        <v>8586617399</v>
      </c>
      <c r="G241" s="3"/>
      <c r="H241" s="4">
        <v>1173059134635</v>
      </c>
      <c r="I241" s="3"/>
      <c r="J241" s="2">
        <v>9546362.9240000006</v>
      </c>
      <c r="K241" s="3"/>
      <c r="L241" s="3">
        <v>8.2706043189999991E-3</v>
      </c>
      <c r="M241" s="4">
        <v>588267242857</v>
      </c>
      <c r="N241" s="4">
        <v>695502785979</v>
      </c>
      <c r="O241" s="4">
        <v>107235543122</v>
      </c>
      <c r="P241" s="3">
        <v>9.1415291829999995E-2</v>
      </c>
      <c r="Q241" s="3">
        <v>0.51524112330000005</v>
      </c>
      <c r="R241" s="3"/>
      <c r="S241" s="4">
        <v>604408306284</v>
      </c>
      <c r="T241" s="3">
        <v>-1.6104054289999999E-2</v>
      </c>
      <c r="U241" s="4">
        <v>-9733424175</v>
      </c>
      <c r="V241" s="3">
        <v>-8.2974710209999993E-3</v>
      </c>
      <c r="W241" s="3">
        <v>0</v>
      </c>
      <c r="X241" s="4">
        <v>122880.2156</v>
      </c>
      <c r="Y241" s="4">
        <v>122880.2156</v>
      </c>
      <c r="Z241" s="6">
        <v>0.98916059609999996</v>
      </c>
      <c r="AA241" s="3"/>
      <c r="AB241" s="6">
        <v>0.29630065210000001</v>
      </c>
      <c r="AC241" s="3"/>
      <c r="AD241" s="6">
        <v>0.69285994399999995</v>
      </c>
      <c r="AE241" s="3">
        <v>0.19004561989999999</v>
      </c>
      <c r="AF241" s="3">
        <v>0.14804561990000001</v>
      </c>
      <c r="AG241" s="3">
        <v>0.1330456199</v>
      </c>
      <c r="AH241" s="3">
        <v>8.4045619919999995E-2</v>
      </c>
      <c r="AI241" s="3">
        <v>0.55518247970000001</v>
      </c>
      <c r="AJ241" s="6">
        <v>0.66316584690000002</v>
      </c>
      <c r="AK241" s="4">
        <v>85138.779330000005</v>
      </c>
      <c r="AL241" t="s">
        <v>62</v>
      </c>
      <c r="AM241" t="s">
        <v>254</v>
      </c>
      <c r="AN241" t="str">
        <f t="shared" si="7"/>
        <v>Excellent Economic Resilience with Superb Affordability.</v>
      </c>
      <c r="AP241" t="s">
        <v>40</v>
      </c>
    </row>
    <row r="242" spans="1:42" x14ac:dyDescent="0.4">
      <c r="A242" t="str">
        <f t="shared" si="6"/>
        <v>ARGENTINA|2019</v>
      </c>
      <c r="B242" s="1" t="s">
        <v>256</v>
      </c>
      <c r="C242" s="1">
        <v>2019</v>
      </c>
      <c r="D242" s="4">
        <v>87700000000000</v>
      </c>
      <c r="E242" s="3"/>
      <c r="F242" s="2">
        <v>7810000000</v>
      </c>
      <c r="G242" s="3"/>
      <c r="H242" s="4">
        <v>447754700000</v>
      </c>
      <c r="I242" s="3"/>
      <c r="J242" s="2">
        <v>44973465</v>
      </c>
      <c r="K242" s="3"/>
      <c r="L242" s="3">
        <v>5.1055267960000003E-3</v>
      </c>
      <c r="M242" s="4">
        <v>65845620000</v>
      </c>
      <c r="N242" s="4">
        <v>80259480000</v>
      </c>
      <c r="O242" s="4">
        <v>14413860000</v>
      </c>
      <c r="P242" s="3">
        <v>3.2191420880000002E-2</v>
      </c>
      <c r="Q242" s="3">
        <v>0.89800000000000002</v>
      </c>
      <c r="R242" s="3"/>
      <c r="S242" s="4">
        <v>402083720600</v>
      </c>
      <c r="T242" s="3">
        <v>0.37</v>
      </c>
      <c r="U242" s="4">
        <v>148770976622</v>
      </c>
      <c r="V242" s="3">
        <v>0.33226</v>
      </c>
      <c r="W242" s="3">
        <v>0.505</v>
      </c>
      <c r="X242" s="4">
        <v>9955.9751510000006</v>
      </c>
      <c r="Y242" s="4">
        <v>4928.2076999999999</v>
      </c>
      <c r="Z242" s="6">
        <v>0.83</v>
      </c>
      <c r="AA242" s="3"/>
      <c r="AB242" s="6">
        <v>0.433</v>
      </c>
      <c r="AC242" s="3"/>
      <c r="AD242" s="6">
        <v>0.39700000000000002</v>
      </c>
      <c r="AE242" s="3">
        <v>0.14285354149999999</v>
      </c>
      <c r="AF242" s="3">
        <v>7.2853541490000007E-2</v>
      </c>
      <c r="AG242" s="3">
        <v>5.275354149E-2</v>
      </c>
      <c r="AH242" s="3">
        <v>3.2853541489999999E-2</v>
      </c>
      <c r="AI242" s="3">
        <v>0.30131416599999999</v>
      </c>
      <c r="AJ242" s="6">
        <v>6.3511136460000003E-3</v>
      </c>
      <c r="AK242" s="4">
        <v>1956.4984569999999</v>
      </c>
      <c r="AL242" t="s">
        <v>38</v>
      </c>
      <c r="AM242" t="s">
        <v>255</v>
      </c>
      <c r="AN242" t="str">
        <f t="shared" si="7"/>
        <v>Very Weak Economic Resilience with Very Weak Affordability.</v>
      </c>
      <c r="AP242" t="s">
        <v>271</v>
      </c>
    </row>
    <row r="243" spans="1:42" x14ac:dyDescent="0.4">
      <c r="A243" t="str">
        <f t="shared" si="6"/>
        <v>ARGENTINA|2020</v>
      </c>
      <c r="B243" s="1" t="s">
        <v>256</v>
      </c>
      <c r="C243" s="1">
        <v>2020</v>
      </c>
      <c r="D243" s="4">
        <v>84750000000000</v>
      </c>
      <c r="E243" s="3">
        <v>-3.3637400230000003E-2</v>
      </c>
      <c r="F243" s="2">
        <v>7890000000</v>
      </c>
      <c r="G243" s="3">
        <v>1.0243277849999999E-2</v>
      </c>
      <c r="H243" s="4">
        <v>385740500000</v>
      </c>
      <c r="I243" s="3">
        <v>-0.1385003887</v>
      </c>
      <c r="J243" s="2">
        <v>45191965</v>
      </c>
      <c r="K243" s="3">
        <v>4.8584204039999997E-3</v>
      </c>
      <c r="L243" s="3">
        <v>4.5515103240000004E-3</v>
      </c>
      <c r="M243" s="4">
        <v>52454090000</v>
      </c>
      <c r="N243" s="4">
        <v>64053810000</v>
      </c>
      <c r="O243" s="4">
        <v>11599720000</v>
      </c>
      <c r="P243" s="3">
        <v>3.0071304409999999E-2</v>
      </c>
      <c r="Q243" s="3">
        <v>1.038</v>
      </c>
      <c r="R243" s="3">
        <v>0.1559020045</v>
      </c>
      <c r="S243" s="4">
        <v>400398639000</v>
      </c>
      <c r="T243" s="3">
        <v>0.21</v>
      </c>
      <c r="U243" s="4">
        <v>84083714190</v>
      </c>
      <c r="V243" s="3">
        <v>0.21798000000000001</v>
      </c>
      <c r="W243" s="3">
        <v>0.372</v>
      </c>
      <c r="X243" s="4">
        <v>8535.599193</v>
      </c>
      <c r="Y243" s="4">
        <v>5360.3562929999998</v>
      </c>
      <c r="Z243" s="6">
        <v>0.85</v>
      </c>
      <c r="AA243" s="3">
        <v>2.4096385540000001E-2</v>
      </c>
      <c r="AB243" s="7">
        <v>0.42699999999999999</v>
      </c>
      <c r="AC243" s="3">
        <v>-1.405152225E-2</v>
      </c>
      <c r="AD243" s="6">
        <v>0.42299999999999999</v>
      </c>
      <c r="AE243" s="3">
        <v>0.1468182016</v>
      </c>
      <c r="AF243" s="3">
        <v>7.6818201569999994E-2</v>
      </c>
      <c r="AG243" s="3">
        <v>5.6718201570000001E-2</v>
      </c>
      <c r="AH243" s="3">
        <v>3.681820157E-2</v>
      </c>
      <c r="AI243" s="3">
        <v>0.3171728063</v>
      </c>
      <c r="AJ243" s="6">
        <v>0.133815621</v>
      </c>
      <c r="AK243" s="4">
        <v>2267.4307119999999</v>
      </c>
      <c r="AL243" t="s">
        <v>38</v>
      </c>
      <c r="AM243" t="s">
        <v>42</v>
      </c>
      <c r="AN243" t="str">
        <f t="shared" si="7"/>
        <v>Weak Economic Resilience with Very Weak Affordability.</v>
      </c>
      <c r="AP243" t="s">
        <v>271</v>
      </c>
    </row>
    <row r="244" spans="1:42" x14ac:dyDescent="0.4">
      <c r="A244" t="str">
        <f t="shared" si="6"/>
        <v>ARGENTINA|2021</v>
      </c>
      <c r="B244" s="1" t="s">
        <v>256</v>
      </c>
      <c r="C244" s="1">
        <v>2021</v>
      </c>
      <c r="D244" s="4">
        <v>96140000000000</v>
      </c>
      <c r="E244" s="3">
        <v>0.13439528019999999</v>
      </c>
      <c r="F244" s="2">
        <v>7950000000</v>
      </c>
      <c r="G244" s="3">
        <v>7.6045627380000001E-3</v>
      </c>
      <c r="H244" s="4">
        <v>486564100000</v>
      </c>
      <c r="I244" s="3">
        <v>0.26137675459999998</v>
      </c>
      <c r="J244" s="2">
        <v>45312281</v>
      </c>
      <c r="K244" s="3">
        <v>2.6623316779999999E-3</v>
      </c>
      <c r="L244" s="3">
        <v>5.060995423E-3</v>
      </c>
      <c r="M244" s="4">
        <v>73042910000</v>
      </c>
      <c r="N244" s="4">
        <v>87906120000</v>
      </c>
      <c r="O244" s="4">
        <v>14863210000</v>
      </c>
      <c r="P244" s="3">
        <v>3.0547280409999999E-2</v>
      </c>
      <c r="Q244" s="3">
        <v>0.80800000000000005</v>
      </c>
      <c r="R244" s="3">
        <v>-0.22157996150000001</v>
      </c>
      <c r="S244" s="4">
        <v>393143792800</v>
      </c>
      <c r="T244" s="3">
        <v>0.36</v>
      </c>
      <c r="U244" s="4">
        <v>141531765408</v>
      </c>
      <c r="V244" s="3">
        <v>0.29088000000000003</v>
      </c>
      <c r="W244" s="3">
        <v>0.52100000000000002</v>
      </c>
      <c r="X244" s="4">
        <v>10738.018239999999</v>
      </c>
      <c r="Y244" s="4">
        <v>5143.5107379999999</v>
      </c>
      <c r="Z244" s="6">
        <v>0.84</v>
      </c>
      <c r="AA244" s="3">
        <v>-1.176470588E-2</v>
      </c>
      <c r="AB244" s="6">
        <v>0.42399999999999999</v>
      </c>
      <c r="AC244" s="3">
        <v>-7.0754716979999997E-3</v>
      </c>
      <c r="AD244" s="6">
        <v>0.41599999999999998</v>
      </c>
      <c r="AE244" s="3">
        <v>0.15099152800000001</v>
      </c>
      <c r="AF244" s="3">
        <v>8.0991527970000005E-2</v>
      </c>
      <c r="AG244" s="3">
        <v>6.0891527969999998E-2</v>
      </c>
      <c r="AH244" s="3">
        <v>4.0991527969999997E-2</v>
      </c>
      <c r="AI244" s="3">
        <v>0.33386611189999998</v>
      </c>
      <c r="AJ244" s="6">
        <v>7.8594387710000005E-2</v>
      </c>
      <c r="AK244" s="4">
        <v>2139.7004670000001</v>
      </c>
      <c r="AL244" t="s">
        <v>38</v>
      </c>
      <c r="AM244" t="s">
        <v>257</v>
      </c>
      <c r="AN244" t="str">
        <f t="shared" si="7"/>
        <v>Very Weak Economic Resilience with Very Weak Affordability.</v>
      </c>
      <c r="AP244" t="s">
        <v>271</v>
      </c>
    </row>
    <row r="245" spans="1:42" x14ac:dyDescent="0.4">
      <c r="A245" t="str">
        <f t="shared" si="6"/>
        <v>ARGENTINA|2022</v>
      </c>
      <c r="B245" s="1" t="s">
        <v>256</v>
      </c>
      <c r="C245" s="1">
        <v>2022</v>
      </c>
      <c r="D245" s="4">
        <v>101560000000000</v>
      </c>
      <c r="E245" s="3">
        <v>5.6376118160000002E-2</v>
      </c>
      <c r="F245" s="2">
        <v>8020000000</v>
      </c>
      <c r="G245" s="3">
        <v>8.8050314469999991E-3</v>
      </c>
      <c r="H245" s="4">
        <v>633993800000</v>
      </c>
      <c r="I245" s="3">
        <v>0.30300159840000002</v>
      </c>
      <c r="J245" s="2">
        <v>45407904</v>
      </c>
      <c r="K245" s="3">
        <v>2.1103108890000001E-3</v>
      </c>
      <c r="L245" s="3">
        <v>6.2425541549999998E-3</v>
      </c>
      <c r="M245" s="4">
        <v>96991610000</v>
      </c>
      <c r="N245" s="4">
        <v>103224800000</v>
      </c>
      <c r="O245" s="4">
        <v>6233190000</v>
      </c>
      <c r="P245" s="3">
        <v>9.831626114E-3</v>
      </c>
      <c r="Q245" s="3">
        <v>0.85</v>
      </c>
      <c r="R245" s="3">
        <v>5.198019802E-2</v>
      </c>
      <c r="S245" s="4">
        <v>538894730000</v>
      </c>
      <c r="T245" s="3">
        <v>0.37</v>
      </c>
      <c r="U245" s="4">
        <v>199391050100</v>
      </c>
      <c r="V245" s="3">
        <v>0.3145</v>
      </c>
      <c r="W245" s="3">
        <v>0.88</v>
      </c>
      <c r="X245" s="4">
        <v>13962.19037</v>
      </c>
      <c r="Y245" s="4">
        <v>1675.462845</v>
      </c>
      <c r="Z245" s="6">
        <v>0.85</v>
      </c>
      <c r="AA245" s="3">
        <v>1.19047619E-2</v>
      </c>
      <c r="AB245" s="7">
        <v>0.40699999999999997</v>
      </c>
      <c r="AC245" s="3">
        <v>-4.1769041770000001E-2</v>
      </c>
      <c r="AD245" s="6">
        <v>0.443</v>
      </c>
      <c r="AE245" s="3">
        <v>0.15538450309999999</v>
      </c>
      <c r="AF245" s="3">
        <v>8.5384503129999997E-2</v>
      </c>
      <c r="AG245" s="3">
        <v>6.5284503130000004E-2</v>
      </c>
      <c r="AH245" s="3">
        <v>4.5384503130000003E-2</v>
      </c>
      <c r="AI245" s="3">
        <v>0.35143801250000001</v>
      </c>
      <c r="AJ245" s="6">
        <v>5.3012192770000001E-2</v>
      </c>
      <c r="AK245" s="4">
        <v>742.2300401</v>
      </c>
      <c r="AL245" t="s">
        <v>38</v>
      </c>
      <c r="AM245" t="s">
        <v>258</v>
      </c>
      <c r="AN245" t="str">
        <f t="shared" si="7"/>
        <v>Very Weak Economic Resilience with Very Weak Affordability.</v>
      </c>
      <c r="AP245" t="s">
        <v>271</v>
      </c>
    </row>
    <row r="246" spans="1:42" x14ac:dyDescent="0.4">
      <c r="A246" t="str">
        <f t="shared" si="6"/>
        <v>ARGENTINA|2023</v>
      </c>
      <c r="B246" s="1" t="s">
        <v>256</v>
      </c>
      <c r="C246" s="1">
        <v>2023</v>
      </c>
      <c r="D246" s="4">
        <v>106800000000000</v>
      </c>
      <c r="E246" s="3">
        <v>5.1595116189999998E-2</v>
      </c>
      <c r="F246" s="2">
        <v>8090000000</v>
      </c>
      <c r="G246" s="3">
        <v>8.7281795509999999E-3</v>
      </c>
      <c r="H246" s="4">
        <v>649461700000</v>
      </c>
      <c r="I246" s="3">
        <v>2.4397557199999999E-2</v>
      </c>
      <c r="J246" s="2">
        <v>45538401</v>
      </c>
      <c r="K246" s="3">
        <v>2.8738829260000001E-3</v>
      </c>
      <c r="L246" s="3">
        <v>6.0811020600000003E-3</v>
      </c>
      <c r="M246" s="4">
        <v>89980570000</v>
      </c>
      <c r="N246" s="4">
        <v>83276000000</v>
      </c>
      <c r="O246" s="4">
        <v>-6704570000</v>
      </c>
      <c r="P246" s="3">
        <v>-1.0323272329999999E-2</v>
      </c>
      <c r="Q246" s="3">
        <v>1.5660000000000001</v>
      </c>
      <c r="R246" s="3">
        <v>0.84235294120000004</v>
      </c>
      <c r="S246" s="4">
        <v>1017057022200</v>
      </c>
      <c r="T246" s="3">
        <v>0.71</v>
      </c>
      <c r="U246" s="4">
        <v>722110485762</v>
      </c>
      <c r="V246" s="3">
        <v>1.1118600000000001</v>
      </c>
      <c r="W246" s="3">
        <v>1.427</v>
      </c>
      <c r="X246" s="4">
        <v>14261.84683</v>
      </c>
      <c r="Y246" s="4">
        <v>-6089.8085970000002</v>
      </c>
      <c r="Z246" s="6">
        <v>0.86499999999999999</v>
      </c>
      <c r="AA246" s="3">
        <v>1.7647058819999999E-2</v>
      </c>
      <c r="AB246" s="6">
        <v>0.42399999999999999</v>
      </c>
      <c r="AC246" s="3">
        <v>4.0094339620000002E-2</v>
      </c>
      <c r="AD246" s="6">
        <v>0.441</v>
      </c>
      <c r="AE246" s="3">
        <v>0.1600086875</v>
      </c>
      <c r="AF246" s="3">
        <v>9.0008687500000004E-2</v>
      </c>
      <c r="AG246" s="3">
        <v>6.9908687499999997E-2</v>
      </c>
      <c r="AH246" s="3">
        <v>5.0008687500000003E-2</v>
      </c>
      <c r="AI246" s="3">
        <v>0.36993474999999998</v>
      </c>
      <c r="AJ246" s="6">
        <v>-0.74616742030000005</v>
      </c>
      <c r="AK246" s="4">
        <v>-2685.605591</v>
      </c>
      <c r="AL246" t="s">
        <v>38</v>
      </c>
      <c r="AM246" t="s">
        <v>259</v>
      </c>
      <c r="AN246" t="str">
        <f t="shared" si="7"/>
        <v>Very Weak Economic Resilience with Very Weak Affordability.</v>
      </c>
      <c r="AP246" t="s">
        <v>271</v>
      </c>
    </row>
    <row r="247" spans="1:42" x14ac:dyDescent="0.4">
      <c r="A247" t="str">
        <f t="shared" si="6"/>
        <v>ARGENTINA|2024</v>
      </c>
      <c r="B247" s="1" t="s">
        <v>256</v>
      </c>
      <c r="C247" s="1">
        <v>2024</v>
      </c>
      <c r="D247" s="4">
        <v>112600000000000</v>
      </c>
      <c r="E247" s="3">
        <v>5.4307116099999997E-2</v>
      </c>
      <c r="F247" s="2">
        <v>8161972572</v>
      </c>
      <c r="G247" s="3">
        <v>8.8964860320000002E-3</v>
      </c>
      <c r="H247" s="4">
        <v>638365500000</v>
      </c>
      <c r="I247" s="3">
        <v>-1.7085226120000001E-2</v>
      </c>
      <c r="J247" s="2">
        <v>45696159</v>
      </c>
      <c r="K247" s="3">
        <v>3.4642850110000001E-3</v>
      </c>
      <c r="L247" s="3">
        <v>5.6693206039999996E-3</v>
      </c>
      <c r="M247" s="4">
        <v>80944820000</v>
      </c>
      <c r="N247" s="4">
        <v>97349130000</v>
      </c>
      <c r="O247" s="4">
        <v>16404310000</v>
      </c>
      <c r="P247" s="3">
        <v>2.569736303E-2</v>
      </c>
      <c r="Q247" s="3">
        <v>0.83199999999999996</v>
      </c>
      <c r="R247" s="3">
        <v>-0.46871008939999997</v>
      </c>
      <c r="S247" s="4">
        <v>531120096000</v>
      </c>
      <c r="T247" s="3">
        <v>1.0023</v>
      </c>
      <c r="U247" s="4">
        <v>532341672221</v>
      </c>
      <c r="V247" s="3">
        <v>0.83391360000000003</v>
      </c>
      <c r="W247" s="3">
        <v>1.93</v>
      </c>
      <c r="X247" s="4">
        <v>13969.78464</v>
      </c>
      <c r="Y247" s="4">
        <v>-12991.89971</v>
      </c>
      <c r="Z247" s="6">
        <v>0.86499999999999999</v>
      </c>
      <c r="AA247" s="3">
        <v>0</v>
      </c>
      <c r="AB247" s="6">
        <v>0.42399999999999999</v>
      </c>
      <c r="AC247" s="3">
        <v>0</v>
      </c>
      <c r="AD247" s="6">
        <v>0.441</v>
      </c>
      <c r="AE247" s="3">
        <v>0.16487625</v>
      </c>
      <c r="AF247" s="3">
        <v>9.4876249999999995E-2</v>
      </c>
      <c r="AG247" s="3">
        <v>7.4776250000000002E-2</v>
      </c>
      <c r="AH247" s="3">
        <v>5.4876250000000001E-2</v>
      </c>
      <c r="AI247" s="3">
        <v>0.389405</v>
      </c>
      <c r="AJ247" s="6">
        <v>-0.41314191639999998</v>
      </c>
      <c r="AK247" s="4">
        <v>-5729.4277730000003</v>
      </c>
      <c r="AL247" t="s">
        <v>38</v>
      </c>
      <c r="AM247" t="s">
        <v>260</v>
      </c>
      <c r="AN247" t="str">
        <f t="shared" si="7"/>
        <v>Very Weak Economic Resilience with Very Weak Affordability.</v>
      </c>
      <c r="AP247" t="s">
        <v>271</v>
      </c>
    </row>
    <row r="248" spans="1:42" x14ac:dyDescent="0.4">
      <c r="A248" t="str">
        <f t="shared" si="6"/>
        <v>ARGENTINA|2025</v>
      </c>
      <c r="B248" s="1" t="s">
        <v>256</v>
      </c>
      <c r="C248" s="1">
        <v>2025</v>
      </c>
      <c r="D248" s="4">
        <v>113795678000000</v>
      </c>
      <c r="E248" s="3">
        <v>1.061880995E-2</v>
      </c>
      <c r="F248" s="2">
        <v>8231613070</v>
      </c>
      <c r="G248" s="3">
        <v>8.5323121809999999E-3</v>
      </c>
      <c r="H248" s="4">
        <v>683533000000</v>
      </c>
      <c r="I248" s="3">
        <v>7.075492018E-2</v>
      </c>
      <c r="J248" s="2">
        <v>46700000</v>
      </c>
      <c r="K248" s="3">
        <v>2.1967732560000001E-2</v>
      </c>
      <c r="L248" s="3">
        <v>6.0066692519999999E-3</v>
      </c>
      <c r="M248" s="4">
        <v>70500000000</v>
      </c>
      <c r="N248" s="4">
        <v>89500000000</v>
      </c>
      <c r="O248" s="4">
        <v>19000000000</v>
      </c>
      <c r="P248" s="3">
        <v>2.779675597E-2</v>
      </c>
      <c r="Q248" s="3">
        <v>0.78064994669999999</v>
      </c>
      <c r="R248" s="3">
        <v>-6.1718814089999997E-2</v>
      </c>
      <c r="S248" s="4">
        <v>533600000000</v>
      </c>
      <c r="T248" s="3">
        <v>0.28999999999999998</v>
      </c>
      <c r="U248" s="4">
        <v>154744000000</v>
      </c>
      <c r="V248" s="3">
        <v>0.22638848449999999</v>
      </c>
      <c r="W248" s="3">
        <v>0.318</v>
      </c>
      <c r="X248" s="4">
        <v>14636.68094</v>
      </c>
      <c r="Y248" s="4">
        <v>9982.2164030000004</v>
      </c>
      <c r="Z248" s="6">
        <v>0.86499999999999999</v>
      </c>
      <c r="AA248" s="3">
        <v>0</v>
      </c>
      <c r="AB248" s="6">
        <v>0.4</v>
      </c>
      <c r="AC248" s="3">
        <v>-0.06</v>
      </c>
      <c r="AD248" s="6">
        <v>0.46500000000000002</v>
      </c>
      <c r="AE248" s="3">
        <v>0.17</v>
      </c>
      <c r="AF248" s="3">
        <v>0.1</v>
      </c>
      <c r="AG248" s="3">
        <v>7.9899999999999999E-2</v>
      </c>
      <c r="AH248" s="3">
        <v>0.06</v>
      </c>
      <c r="AI248" s="3">
        <v>0.40989999999999999</v>
      </c>
      <c r="AJ248" s="6">
        <v>0.21731494069999999</v>
      </c>
      <c r="AK248" s="4">
        <v>4641.7306269999999</v>
      </c>
      <c r="AL248" t="s">
        <v>90</v>
      </c>
      <c r="AM248" t="s">
        <v>261</v>
      </c>
      <c r="AN248" t="str">
        <f t="shared" si="7"/>
        <v>Weak Economic Resilience with Poor Affordability.</v>
      </c>
      <c r="AO248" t="s">
        <v>327</v>
      </c>
      <c r="AP248" t="s">
        <v>271</v>
      </c>
    </row>
    <row r="249" spans="1:42" x14ac:dyDescent="0.4">
      <c r="A249" t="str">
        <f t="shared" si="6"/>
        <v>ARGENTINA|2026</v>
      </c>
      <c r="B249" s="1" t="s">
        <v>256</v>
      </c>
      <c r="C249" s="1">
        <v>2026</v>
      </c>
      <c r="D249" s="4">
        <v>120063810405112</v>
      </c>
      <c r="E249" s="3">
        <v>5.5082341569999999E-2</v>
      </c>
      <c r="F249" s="2">
        <v>8302201675</v>
      </c>
      <c r="G249" s="3">
        <v>8.575306441E-3</v>
      </c>
      <c r="H249" s="4">
        <v>749107179700</v>
      </c>
      <c r="I249" s="3">
        <v>9.5934182689999994E-2</v>
      </c>
      <c r="J249" s="2">
        <v>46728658.590000004</v>
      </c>
      <c r="K249" s="3">
        <v>6.1367425259999998E-4</v>
      </c>
      <c r="L249" s="3">
        <v>6.2392420929999999E-3</v>
      </c>
      <c r="M249" s="4">
        <v>88234554286</v>
      </c>
      <c r="N249" s="4">
        <v>99321631429</v>
      </c>
      <c r="O249" s="4">
        <v>11087077143</v>
      </c>
      <c r="P249" s="3">
        <v>1.4800388310000001E-2</v>
      </c>
      <c r="Q249" s="3">
        <v>0.89305439019999999</v>
      </c>
      <c r="R249" s="3">
        <v>0.14398828059999999</v>
      </c>
      <c r="S249" s="4">
        <v>668993455593</v>
      </c>
      <c r="T249" s="3">
        <v>0.30449999999999999</v>
      </c>
      <c r="U249" s="4">
        <v>203708507228</v>
      </c>
      <c r="V249" s="3">
        <v>0.27193506179999999</v>
      </c>
      <c r="W249" s="3">
        <v>0.33389999999999997</v>
      </c>
      <c r="X249" s="4">
        <v>16031.00115</v>
      </c>
      <c r="Y249" s="4">
        <v>10678.24987</v>
      </c>
      <c r="Z249" s="6">
        <v>0.87301910230000002</v>
      </c>
      <c r="AA249" s="3">
        <v>9.2706385200000008E-3</v>
      </c>
      <c r="AB249" s="6">
        <v>0.39966851489999999</v>
      </c>
      <c r="AC249" s="3">
        <v>-8.2940010409999999E-4</v>
      </c>
      <c r="AD249" s="6">
        <v>0.47335058740000002</v>
      </c>
      <c r="AE249" s="3">
        <v>0.17512374999999999</v>
      </c>
      <c r="AF249" s="3">
        <v>0.10512375</v>
      </c>
      <c r="AG249" s="3">
        <v>8.5023749999999995E-2</v>
      </c>
      <c r="AH249" s="3">
        <v>6.5123749999999994E-2</v>
      </c>
      <c r="AI249" s="3">
        <v>0.43039500000000003</v>
      </c>
      <c r="AJ249" s="6">
        <v>0.17949956859999999</v>
      </c>
      <c r="AK249" s="4">
        <v>5054.555848</v>
      </c>
      <c r="AL249" t="s">
        <v>94</v>
      </c>
      <c r="AM249" t="s">
        <v>262</v>
      </c>
      <c r="AN249" t="str">
        <f t="shared" si="7"/>
        <v>Weak Economic Resilience with Challenging Affordability.</v>
      </c>
      <c r="AP249" t="s">
        <v>271</v>
      </c>
    </row>
    <row r="250" spans="1:42" x14ac:dyDescent="0.4">
      <c r="A250" t="str">
        <f t="shared" si="6"/>
        <v>ARGENTINA|2027</v>
      </c>
      <c r="B250" s="1" t="s">
        <v>256</v>
      </c>
      <c r="C250" s="1">
        <v>2027</v>
      </c>
      <c r="D250" s="4">
        <v>125735541889780</v>
      </c>
      <c r="E250" s="3">
        <v>4.7239309379999997E-2</v>
      </c>
      <c r="F250" s="2">
        <v>8372937901</v>
      </c>
      <c r="G250" s="3">
        <v>8.5201768609999996E-3</v>
      </c>
      <c r="H250" s="4">
        <v>807808419712</v>
      </c>
      <c r="I250" s="3">
        <v>7.8361603789999998E-2</v>
      </c>
      <c r="J250" s="2">
        <v>46905214.789999999</v>
      </c>
      <c r="K250" s="3">
        <v>3.7783279910000001E-3</v>
      </c>
      <c r="L250" s="3">
        <v>6.4246624909999996E-3</v>
      </c>
      <c r="M250" s="4">
        <v>91373206429</v>
      </c>
      <c r="N250" s="4">
        <v>102524562857</v>
      </c>
      <c r="O250" s="4">
        <v>11151356429</v>
      </c>
      <c r="P250" s="3">
        <v>1.38044568E-2</v>
      </c>
      <c r="Q250" s="3">
        <v>0.93955572180000002</v>
      </c>
      <c r="R250" s="3">
        <v>5.2069988140000002E-2</v>
      </c>
      <c r="S250" s="4">
        <v>758981022819</v>
      </c>
      <c r="T250" s="3">
        <v>0.31972499999999998</v>
      </c>
      <c r="U250" s="4">
        <v>242665207521</v>
      </c>
      <c r="V250" s="3">
        <v>0.30039945309999999</v>
      </c>
      <c r="W250" s="3">
        <v>0.35059499999999999</v>
      </c>
      <c r="X250" s="4">
        <v>17222.145199999999</v>
      </c>
      <c r="Y250" s="4">
        <v>11184.147199999999</v>
      </c>
      <c r="Z250" s="6">
        <v>0.87956136529999995</v>
      </c>
      <c r="AA250" s="3">
        <v>7.4938371959999998E-3</v>
      </c>
      <c r="AB250" s="6">
        <v>0.3967031922</v>
      </c>
      <c r="AC250" s="3">
        <v>-7.4749152080000004E-3</v>
      </c>
      <c r="AD250" s="6">
        <v>0.48285817320000002</v>
      </c>
      <c r="AE250" s="3">
        <v>0.18050368750000001</v>
      </c>
      <c r="AF250" s="3">
        <v>0.1105036875</v>
      </c>
      <c r="AG250" s="3">
        <v>9.0403687499999996E-2</v>
      </c>
      <c r="AH250" s="3">
        <v>7.0503687499999995E-2</v>
      </c>
      <c r="AI250" s="3">
        <v>0.45191474999999998</v>
      </c>
      <c r="AJ250" s="6">
        <v>0.17174441609999999</v>
      </c>
      <c r="AK250" s="4">
        <v>5400.3568869999999</v>
      </c>
      <c r="AL250" t="s">
        <v>94</v>
      </c>
      <c r="AM250" t="s">
        <v>263</v>
      </c>
      <c r="AN250" t="str">
        <f t="shared" si="7"/>
        <v>Weak Economic Resilience with Challenging Affordability.</v>
      </c>
      <c r="AP250" t="s">
        <v>271</v>
      </c>
    </row>
    <row r="251" spans="1:42" x14ac:dyDescent="0.4">
      <c r="A251" t="str">
        <f t="shared" si="6"/>
        <v>ARGENTINA|2028</v>
      </c>
      <c r="B251" s="1" t="s">
        <v>256</v>
      </c>
      <c r="C251" s="1">
        <v>2028</v>
      </c>
      <c r="D251" s="4">
        <v>131237442252096</v>
      </c>
      <c r="E251" s="3">
        <v>4.375771782E-2</v>
      </c>
      <c r="F251" s="2">
        <v>8443822776</v>
      </c>
      <c r="G251" s="3">
        <v>8.465950178E-3</v>
      </c>
      <c r="H251" s="4">
        <v>864747104515</v>
      </c>
      <c r="I251" s="3">
        <v>7.0485381700000002E-2</v>
      </c>
      <c r="J251" s="2">
        <v>47132510.640000001</v>
      </c>
      <c r="K251" s="3">
        <v>4.8458546529999997E-3</v>
      </c>
      <c r="L251" s="3">
        <v>6.5891798079999999E-3</v>
      </c>
      <c r="M251" s="4">
        <v>94511858571</v>
      </c>
      <c r="N251" s="4">
        <v>105727494286</v>
      </c>
      <c r="O251" s="4">
        <v>11215635714</v>
      </c>
      <c r="P251" s="3">
        <v>1.2969844770000001E-2</v>
      </c>
      <c r="Q251" s="3">
        <v>0.96265193760000001</v>
      </c>
      <c r="R251" s="3">
        <v>2.4582060770000001E-2</v>
      </c>
      <c r="S251" s="4">
        <v>832450475694</v>
      </c>
      <c r="T251" s="3">
        <v>0.33571125000000002</v>
      </c>
      <c r="U251" s="4">
        <v>279462989758</v>
      </c>
      <c r="V251" s="3">
        <v>0.3231730853</v>
      </c>
      <c r="W251" s="3">
        <v>0.36812475</v>
      </c>
      <c r="X251" s="4">
        <v>18347.147069999999</v>
      </c>
      <c r="Y251" s="4">
        <v>11593.10814</v>
      </c>
      <c r="Z251" s="6">
        <v>0.88560513259999996</v>
      </c>
      <c r="AA251" s="3">
        <v>6.8713424029999996E-3</v>
      </c>
      <c r="AB251" s="6">
        <v>0.39285579840000001</v>
      </c>
      <c r="AC251" s="3">
        <v>-9.7933995929999993E-3</v>
      </c>
      <c r="AD251" s="6">
        <v>0.49274933430000001</v>
      </c>
      <c r="AE251" s="3">
        <v>0.18615262190000001</v>
      </c>
      <c r="AF251" s="3">
        <v>0.1161526219</v>
      </c>
      <c r="AG251" s="3">
        <v>9.6052621879999994E-2</v>
      </c>
      <c r="AH251" s="3">
        <v>7.6152621879999993E-2</v>
      </c>
      <c r="AI251" s="3">
        <v>0.47451048750000002</v>
      </c>
      <c r="AJ251" s="6">
        <v>0.1708964268</v>
      </c>
      <c r="AK251" s="4">
        <v>5712.4963189999999</v>
      </c>
      <c r="AL251" t="s">
        <v>94</v>
      </c>
      <c r="AM251" t="s">
        <v>263</v>
      </c>
      <c r="AN251" t="str">
        <f t="shared" si="7"/>
        <v>Weak Economic Resilience with Challenging Affordability.</v>
      </c>
      <c r="AP251" t="s">
        <v>271</v>
      </c>
    </row>
    <row r="252" spans="1:42" x14ac:dyDescent="0.4">
      <c r="A252" t="str">
        <f t="shared" si="6"/>
        <v>ARGENTINA|2029</v>
      </c>
      <c r="B252" s="1" t="s">
        <v>256</v>
      </c>
      <c r="C252" s="1">
        <v>2029</v>
      </c>
      <c r="D252" s="4">
        <v>136712479650225</v>
      </c>
      <c r="E252" s="3">
        <v>4.1718562200000003E-2</v>
      </c>
      <c r="F252" s="2">
        <v>8514849364</v>
      </c>
      <c r="G252" s="3">
        <v>8.4116624760000001E-3</v>
      </c>
      <c r="H252" s="4">
        <v>921658026647</v>
      </c>
      <c r="I252" s="3">
        <v>6.5812214729999999E-2</v>
      </c>
      <c r="J252" s="2">
        <v>47378110.810000002</v>
      </c>
      <c r="K252" s="3">
        <v>5.2108441800000002E-3</v>
      </c>
      <c r="L252" s="3">
        <v>6.7415793279999997E-3</v>
      </c>
      <c r="M252" s="4">
        <v>97650510714</v>
      </c>
      <c r="N252" s="4">
        <v>110084428948</v>
      </c>
      <c r="O252" s="4">
        <v>12433918234</v>
      </c>
      <c r="P252" s="3">
        <v>1.3490815329999999E-2</v>
      </c>
      <c r="Q252" s="3">
        <v>0.97707055359999995</v>
      </c>
      <c r="R252" s="3">
        <v>1.4978015900000001E-2</v>
      </c>
      <c r="S252" s="4">
        <v>900524918353</v>
      </c>
      <c r="T252" s="3">
        <v>0.35249681249999998</v>
      </c>
      <c r="U252" s="4">
        <v>317432163296</v>
      </c>
      <c r="V252" s="3">
        <v>0.3444142557</v>
      </c>
      <c r="W252" s="3">
        <v>0.38653098749999998</v>
      </c>
      <c r="X252" s="4">
        <v>19453.245620000002</v>
      </c>
      <c r="Y252" s="4">
        <v>11933.963379999999</v>
      </c>
      <c r="Z252" s="6">
        <v>0.8914766032</v>
      </c>
      <c r="AA252" s="3">
        <v>6.6298967140000003E-3</v>
      </c>
      <c r="AB252" s="6">
        <v>0.38870323070000001</v>
      </c>
      <c r="AC252" s="3">
        <v>-1.068313127E-2</v>
      </c>
      <c r="AD252" s="6">
        <v>0.50277337249999998</v>
      </c>
      <c r="AE252" s="3">
        <v>0.192084003</v>
      </c>
      <c r="AF252" s="3">
        <v>0.122084003</v>
      </c>
      <c r="AG252" s="3">
        <v>0.101984003</v>
      </c>
      <c r="AH252" s="3">
        <v>8.208400297E-2</v>
      </c>
      <c r="AI252" s="3">
        <v>0.4982360119</v>
      </c>
      <c r="AJ252" s="6">
        <v>0.1740541508</v>
      </c>
      <c r="AK252" s="4">
        <v>6000.079017</v>
      </c>
      <c r="AL252" t="s">
        <v>94</v>
      </c>
      <c r="AM252" t="s">
        <v>263</v>
      </c>
      <c r="AN252" t="str">
        <f t="shared" si="7"/>
        <v>Weak Economic Resilience with Challenging Affordability.</v>
      </c>
      <c r="AP252" t="s">
        <v>271</v>
      </c>
    </row>
    <row r="253" spans="1:42" x14ac:dyDescent="0.4">
      <c r="A253" t="str">
        <f t="shared" si="6"/>
        <v>ARGENTINA|2030</v>
      </c>
      <c r="B253" s="1" t="s">
        <v>256</v>
      </c>
      <c r="C253" s="1">
        <v>2030</v>
      </c>
      <c r="D253" s="4">
        <v>141834754671550</v>
      </c>
      <c r="E253" s="3"/>
      <c r="F253" s="2">
        <v>8586617399</v>
      </c>
      <c r="G253" s="3"/>
      <c r="H253" s="4">
        <v>977354148846</v>
      </c>
      <c r="I253" s="3"/>
      <c r="J253" s="2">
        <v>47694222.420000002</v>
      </c>
      <c r="K253" s="3"/>
      <c r="L253" s="3">
        <v>6.8907945100000001E-3</v>
      </c>
      <c r="M253" s="4">
        <v>100789162857</v>
      </c>
      <c r="N253" s="4">
        <v>114389465088</v>
      </c>
      <c r="O253" s="4">
        <v>13600302231</v>
      </c>
      <c r="P253" s="3">
        <v>1.391542896E-2</v>
      </c>
      <c r="Q253" s="3">
        <v>0.98818885160000003</v>
      </c>
      <c r="R253" s="3"/>
      <c r="S253" s="4">
        <v>965810473948</v>
      </c>
      <c r="T253" s="3">
        <v>0.3701216531</v>
      </c>
      <c r="U253" s="4">
        <v>357467369223</v>
      </c>
      <c r="V253" s="3">
        <v>0.36575009139999998</v>
      </c>
      <c r="W253" s="3">
        <v>0.40585753689999998</v>
      </c>
      <c r="X253" s="4">
        <v>20492.086869999999</v>
      </c>
      <c r="Y253" s="4">
        <v>12175.21897</v>
      </c>
      <c r="Z253" s="6">
        <v>0.89728961900000004</v>
      </c>
      <c r="AA253" s="3"/>
      <c r="AB253" s="6">
        <v>0.3844449137</v>
      </c>
      <c r="AC253" s="3"/>
      <c r="AD253" s="6">
        <v>0.51284470530000004</v>
      </c>
      <c r="AE253" s="3">
        <v>0.19831195309999999</v>
      </c>
      <c r="AF253" s="3">
        <v>0.12831195309999999</v>
      </c>
      <c r="AG253" s="3">
        <v>0.10821195309999999</v>
      </c>
      <c r="AH253" s="3">
        <v>8.8311953119999995E-2</v>
      </c>
      <c r="AI253" s="3">
        <v>0.52314781249999998</v>
      </c>
      <c r="AJ253" s="6">
        <v>0.1782039446</v>
      </c>
      <c r="AK253" s="4">
        <v>6243.9965830000001</v>
      </c>
      <c r="AL253" t="s">
        <v>94</v>
      </c>
      <c r="AM253" t="s">
        <v>262</v>
      </c>
      <c r="AN253" t="str">
        <f t="shared" si="7"/>
        <v>Weak Economic Resilience with Challenging Affordability.</v>
      </c>
      <c r="AP253" t="s">
        <v>271</v>
      </c>
    </row>
    <row r="254" spans="1:42" x14ac:dyDescent="0.4">
      <c r="A254" t="str">
        <f t="shared" si="6"/>
        <v>SOUTH AFRICA|2019</v>
      </c>
      <c r="B254" s="1" t="s">
        <v>265</v>
      </c>
      <c r="C254" s="1">
        <v>2019</v>
      </c>
      <c r="D254" s="4">
        <v>87700000000000</v>
      </c>
      <c r="E254" s="3"/>
      <c r="F254" s="2">
        <v>7810000000</v>
      </c>
      <c r="G254" s="3"/>
      <c r="H254" s="4">
        <v>389330000000</v>
      </c>
      <c r="I254" s="3"/>
      <c r="J254" s="2">
        <v>59587885</v>
      </c>
      <c r="K254" s="3"/>
      <c r="L254" s="3">
        <v>4.4393386549999997E-3</v>
      </c>
      <c r="M254" s="4">
        <v>103935000000</v>
      </c>
      <c r="N254" s="4">
        <v>105906100000</v>
      </c>
      <c r="O254" s="4">
        <v>1971100000</v>
      </c>
      <c r="P254" s="3">
        <v>5.0628001949999998E-3</v>
      </c>
      <c r="Q254" s="5">
        <v>0.64589277999999894</v>
      </c>
      <c r="R254" s="3"/>
      <c r="S254" s="4">
        <v>251465436037</v>
      </c>
      <c r="T254" s="3">
        <v>5.2684160000000001E-2</v>
      </c>
      <c r="U254" s="4">
        <v>13248245267</v>
      </c>
      <c r="V254" s="3">
        <v>3.402831856E-2</v>
      </c>
      <c r="W254" s="5">
        <v>4.1028509999999997E-2</v>
      </c>
      <c r="X254" s="4">
        <v>6533.7106700000004</v>
      </c>
      <c r="Y254" s="4">
        <v>6265.6422560000001</v>
      </c>
      <c r="Z254" s="6">
        <v>0.74099999999999999</v>
      </c>
      <c r="AA254" s="3"/>
      <c r="AB254" s="6">
        <v>0.59299999999999997</v>
      </c>
      <c r="AC254" s="3"/>
      <c r="AD254" s="6">
        <v>0.14799999999999999</v>
      </c>
      <c r="AE254" s="3">
        <v>0.13015362580000001</v>
      </c>
      <c r="AF254" s="3">
        <v>6.1153625830000002E-2</v>
      </c>
      <c r="AG254" s="3">
        <v>3.5853625829999999E-2</v>
      </c>
      <c r="AH254" s="3">
        <v>4.0853625829999997E-2</v>
      </c>
      <c r="AI254" s="3">
        <v>0.26801450329999998</v>
      </c>
      <c r="AJ254" s="6">
        <v>0.2434883236</v>
      </c>
      <c r="AK254" s="4">
        <v>927.31505389999995</v>
      </c>
      <c r="AL254" t="s">
        <v>38</v>
      </c>
      <c r="AM254" t="s">
        <v>264</v>
      </c>
      <c r="AN254" t="str">
        <f t="shared" si="7"/>
        <v>Weak Economic Resilience with Very Weak Affordability.</v>
      </c>
      <c r="AP254" t="s">
        <v>40</v>
      </c>
    </row>
    <row r="255" spans="1:42" x14ac:dyDescent="0.4">
      <c r="A255" t="str">
        <f t="shared" si="6"/>
        <v>SOUTH AFRICA|2020</v>
      </c>
      <c r="B255" s="1" t="s">
        <v>265</v>
      </c>
      <c r="C255" s="1">
        <v>2020</v>
      </c>
      <c r="D255" s="4">
        <v>84750000000000</v>
      </c>
      <c r="E255" s="3">
        <v>-3.3637400230000003E-2</v>
      </c>
      <c r="F255" s="2">
        <v>7890000000</v>
      </c>
      <c r="G255" s="3">
        <v>1.0243277849999999E-2</v>
      </c>
      <c r="H255" s="4">
        <v>337974700000</v>
      </c>
      <c r="I255" s="3">
        <v>-0.13190686560000001</v>
      </c>
      <c r="J255" s="2">
        <v>60562381</v>
      </c>
      <c r="K255" s="3">
        <v>1.6353928319999999E-2</v>
      </c>
      <c r="L255" s="3">
        <v>3.9879020649999999E-3</v>
      </c>
      <c r="M255" s="4">
        <v>78355180000</v>
      </c>
      <c r="N255" s="4">
        <v>93199600000</v>
      </c>
      <c r="O255" s="4">
        <v>14844420000</v>
      </c>
      <c r="P255" s="3">
        <v>4.3921689999999999E-2</v>
      </c>
      <c r="Q255" s="3">
        <v>0.75725509000000002</v>
      </c>
      <c r="R255" s="3">
        <v>0.17241609359999999</v>
      </c>
      <c r="S255" s="4">
        <v>255933061866</v>
      </c>
      <c r="T255" s="3">
        <v>2.1984139999999999E-2</v>
      </c>
      <c r="U255" s="4">
        <v>5626468263</v>
      </c>
      <c r="V255" s="3">
        <v>1.664760191E-2</v>
      </c>
      <c r="W255" s="3">
        <v>3.2323879999999999E-2</v>
      </c>
      <c r="X255" s="4">
        <v>5580.6045670000003</v>
      </c>
      <c r="Y255" s="4">
        <v>5400.2177750000001</v>
      </c>
      <c r="Z255" s="6">
        <v>0.72199999999999998</v>
      </c>
      <c r="AA255" s="3">
        <v>-2.5641025639999999E-2</v>
      </c>
      <c r="AB255" s="6">
        <v>0.57799999999999996</v>
      </c>
      <c r="AC255" s="3">
        <v>-2.5951557090000001E-2</v>
      </c>
      <c r="AD255" s="6">
        <v>0.14399999999999999</v>
      </c>
      <c r="AE255" s="3">
        <v>0.13368013249999999</v>
      </c>
      <c r="AF255" s="3">
        <v>6.4680132449999997E-2</v>
      </c>
      <c r="AG255" s="3">
        <v>3.9380132450000001E-2</v>
      </c>
      <c r="AH255" s="3">
        <v>4.4380132449999998E-2</v>
      </c>
      <c r="AI255" s="3">
        <v>0.28212052980000002</v>
      </c>
      <c r="AJ255" s="6">
        <v>0.31338252</v>
      </c>
      <c r="AK255" s="4">
        <v>777.6313596</v>
      </c>
      <c r="AL255" t="s">
        <v>38</v>
      </c>
      <c r="AM255" t="s">
        <v>266</v>
      </c>
      <c r="AN255" t="str">
        <f t="shared" si="7"/>
        <v>Satisfactory Economic Resilience with Very Weak Affordability.</v>
      </c>
      <c r="AP255" t="s">
        <v>40</v>
      </c>
    </row>
    <row r="256" spans="1:42" x14ac:dyDescent="0.4">
      <c r="A256" t="str">
        <f t="shared" si="6"/>
        <v>SOUTH AFRICA|2021</v>
      </c>
      <c r="B256" s="1" t="s">
        <v>265</v>
      </c>
      <c r="C256" s="1">
        <v>2021</v>
      </c>
      <c r="D256" s="4">
        <v>96140000000000</v>
      </c>
      <c r="E256" s="3">
        <v>0.13439528019999999</v>
      </c>
      <c r="F256" s="2">
        <v>7950000000</v>
      </c>
      <c r="G256" s="3">
        <v>7.6045627380000001E-3</v>
      </c>
      <c r="H256" s="4">
        <v>419986300000</v>
      </c>
      <c r="I256" s="3">
        <v>0.2426560331</v>
      </c>
      <c r="J256" s="2">
        <v>61502603</v>
      </c>
      <c r="K256" s="3">
        <v>1.552485197E-2</v>
      </c>
      <c r="L256" s="3">
        <v>4.3684865819999998E-3</v>
      </c>
      <c r="M256" s="4">
        <v>104883600000</v>
      </c>
      <c r="N256" s="4">
        <v>131000500000</v>
      </c>
      <c r="O256" s="4">
        <v>26116900000</v>
      </c>
      <c r="P256" s="3">
        <v>6.2185123660000001E-2</v>
      </c>
      <c r="Q256" s="5">
        <v>0.74082607999999905</v>
      </c>
      <c r="R256" s="3">
        <v>-2.1695476490000001E-2</v>
      </c>
      <c r="S256" s="4">
        <v>311136804283</v>
      </c>
      <c r="T256" s="3">
        <v>5.95087999999999E-3</v>
      </c>
      <c r="U256" s="4">
        <v>1851537786</v>
      </c>
      <c r="V256" s="3">
        <v>4.4085671030000004E-3</v>
      </c>
      <c r="W256" s="3">
        <v>4.6187449999999998E-2</v>
      </c>
      <c r="X256" s="4">
        <v>6828.7565000000004</v>
      </c>
      <c r="Y256" s="4">
        <v>6513.3536510000004</v>
      </c>
      <c r="Z256" s="6">
        <v>0.72099999999999997</v>
      </c>
      <c r="AA256" s="3">
        <v>-1.385041551E-3</v>
      </c>
      <c r="AB256" s="6">
        <v>0.64800000000000002</v>
      </c>
      <c r="AC256" s="3">
        <v>0.1080246914</v>
      </c>
      <c r="AD256" s="6">
        <v>7.2999999999999995E-2</v>
      </c>
      <c r="AE256" s="3">
        <v>0.1373922447</v>
      </c>
      <c r="AF256" s="3">
        <v>6.8392244690000006E-2</v>
      </c>
      <c r="AG256" s="3">
        <v>4.3092244690000003E-2</v>
      </c>
      <c r="AH256" s="3">
        <v>4.8092244690000001E-2</v>
      </c>
      <c r="AI256" s="3">
        <v>0.29696897880000001</v>
      </c>
      <c r="AJ256" s="6">
        <v>0.35911402190000002</v>
      </c>
      <c r="AK256" s="4">
        <v>475.47481649999997</v>
      </c>
      <c r="AL256" t="s">
        <v>38</v>
      </c>
      <c r="AM256" t="s">
        <v>119</v>
      </c>
      <c r="AN256" t="str">
        <f t="shared" si="7"/>
        <v>Satisfactory Economic Resilience with Very Weak Affordability.</v>
      </c>
      <c r="AP256" t="s">
        <v>40</v>
      </c>
    </row>
    <row r="257" spans="1:42" x14ac:dyDescent="0.4">
      <c r="A257" t="str">
        <f t="shared" si="6"/>
        <v>SOUTH AFRICA|2022</v>
      </c>
      <c r="B257" s="1" t="s">
        <v>265</v>
      </c>
      <c r="C257" s="1">
        <v>2022</v>
      </c>
      <c r="D257" s="4">
        <v>101560000000000</v>
      </c>
      <c r="E257" s="3">
        <v>5.6376118160000002E-2</v>
      </c>
      <c r="F257" s="2">
        <v>8020000000</v>
      </c>
      <c r="G257" s="3">
        <v>8.8050314469999991E-3</v>
      </c>
      <c r="H257" s="4">
        <v>407596000000</v>
      </c>
      <c r="I257" s="3">
        <v>-2.9501676599999999E-2</v>
      </c>
      <c r="J257" s="2">
        <v>62378410</v>
      </c>
      <c r="K257" s="3">
        <v>1.424016151E-2</v>
      </c>
      <c r="L257" s="3">
        <v>4.0133517130000003E-3</v>
      </c>
      <c r="M257" s="4">
        <v>128016500000</v>
      </c>
      <c r="N257" s="4">
        <v>136705400000</v>
      </c>
      <c r="O257" s="4">
        <v>8688900000</v>
      </c>
      <c r="P257" s="3">
        <v>2.1317431970000002E-2</v>
      </c>
      <c r="Q257" s="5">
        <v>0.76205442999999995</v>
      </c>
      <c r="R257" s="3">
        <v>2.8654971219999999E-2</v>
      </c>
      <c r="S257" s="4">
        <v>310610337450</v>
      </c>
      <c r="T257" s="3">
        <v>3.373876E-2</v>
      </c>
      <c r="U257" s="4">
        <v>10479607629</v>
      </c>
      <c r="V257" s="3">
        <v>2.5710771520000002E-2</v>
      </c>
      <c r="W257" s="3">
        <v>7.0398730000000007E-2</v>
      </c>
      <c r="X257" s="4">
        <v>6534.2479869999997</v>
      </c>
      <c r="Y257" s="4">
        <v>6074.2452279999998</v>
      </c>
      <c r="Z257" s="6">
        <v>0.71699999999999997</v>
      </c>
      <c r="AA257" s="3">
        <v>-5.547850208E-3</v>
      </c>
      <c r="AB257" s="6">
        <v>0.63</v>
      </c>
      <c r="AC257" s="3">
        <v>-2.8571428570000001E-2</v>
      </c>
      <c r="AD257" s="6">
        <v>8.6999999999999994E-2</v>
      </c>
      <c r="AE257" s="3">
        <v>0.14129973130000001</v>
      </c>
      <c r="AF257" s="3">
        <v>7.2299731249999999E-2</v>
      </c>
      <c r="AG257" s="3">
        <v>4.6999731250000003E-2</v>
      </c>
      <c r="AH257" s="3">
        <v>5.199973125E-2</v>
      </c>
      <c r="AI257" s="3">
        <v>0.31259892500000003</v>
      </c>
      <c r="AJ257" s="6">
        <v>0.31221893719999999</v>
      </c>
      <c r="AK257" s="4">
        <v>528.45933479999997</v>
      </c>
      <c r="AL257" t="s">
        <v>38</v>
      </c>
      <c r="AM257" t="s">
        <v>266</v>
      </c>
      <c r="AN257" t="str">
        <f t="shared" si="7"/>
        <v>Satisfactory Economic Resilience with Very Weak Affordability.</v>
      </c>
      <c r="AP257" t="s">
        <v>40</v>
      </c>
    </row>
    <row r="258" spans="1:42" x14ac:dyDescent="0.4">
      <c r="A258" t="str">
        <f t="shared" si="6"/>
        <v>SOUTH AFRICA|2023</v>
      </c>
      <c r="B258" s="1" t="s">
        <v>265</v>
      </c>
      <c r="C258" s="1">
        <v>2023</v>
      </c>
      <c r="D258" s="4">
        <v>106800000000000</v>
      </c>
      <c r="E258" s="3">
        <v>5.1595116189999998E-2</v>
      </c>
      <c r="F258" s="2">
        <v>8090000000</v>
      </c>
      <c r="G258" s="3">
        <v>8.7281795509999999E-3</v>
      </c>
      <c r="H258" s="4">
        <v>381440700000</v>
      </c>
      <c r="I258" s="3">
        <v>-6.4169667999999999E-2</v>
      </c>
      <c r="J258" s="2">
        <v>63212384</v>
      </c>
      <c r="K258" s="3">
        <v>1.336959374E-2</v>
      </c>
      <c r="L258" s="3">
        <v>3.5715421349999999E-3</v>
      </c>
      <c r="M258" s="4">
        <v>123686200000</v>
      </c>
      <c r="N258" s="4">
        <v>126843600000</v>
      </c>
      <c r="O258" s="4">
        <v>3157400000</v>
      </c>
      <c r="P258" s="3">
        <v>8.2775645070000004E-3</v>
      </c>
      <c r="Q258" s="5">
        <v>0.79446907999999905</v>
      </c>
      <c r="R258" s="3">
        <v>4.2535872400000001E-2</v>
      </c>
      <c r="S258" s="4">
        <v>303042842004</v>
      </c>
      <c r="T258" s="3">
        <v>6.4720669999999994E-2</v>
      </c>
      <c r="U258" s="4">
        <v>19613135773</v>
      </c>
      <c r="V258" s="3">
        <v>5.1418571150000002E-2</v>
      </c>
      <c r="W258" s="3">
        <v>6.0752439999999998E-2</v>
      </c>
      <c r="X258" s="4">
        <v>6034.271702</v>
      </c>
      <c r="Y258" s="4">
        <v>5667.6749730000001</v>
      </c>
      <c r="Z258" s="6">
        <v>0.72850000000000004</v>
      </c>
      <c r="AA258" s="3">
        <v>1.60390516E-2</v>
      </c>
      <c r="AB258" s="6">
        <v>0.63400000000000001</v>
      </c>
      <c r="AC258" s="3">
        <v>6.3091482649999999E-3</v>
      </c>
      <c r="AD258" s="6">
        <v>9.4500000000000001E-2</v>
      </c>
      <c r="AE258" s="3">
        <v>0.145412875</v>
      </c>
      <c r="AF258" s="3">
        <v>7.6412875000000005E-2</v>
      </c>
      <c r="AG258" s="3">
        <v>5.1112875000000002E-2</v>
      </c>
      <c r="AH258" s="3">
        <v>5.6112875E-2</v>
      </c>
      <c r="AI258" s="3">
        <v>0.3290515</v>
      </c>
      <c r="AJ258" s="6">
        <v>0.28948203550000001</v>
      </c>
      <c r="AK258" s="4">
        <v>535.59528490000002</v>
      </c>
      <c r="AL258" t="s">
        <v>38</v>
      </c>
      <c r="AM258" t="s">
        <v>267</v>
      </c>
      <c r="AN258" t="str">
        <f t="shared" si="7"/>
        <v>Moderate Economic Resilience with Very Weak Affordability.</v>
      </c>
      <c r="AP258" t="s">
        <v>40</v>
      </c>
    </row>
    <row r="259" spans="1:42" x14ac:dyDescent="0.4">
      <c r="A259" t="str">
        <f t="shared" ref="A259:A265" si="8">_xlfn.CONCAT(UPPER(B259),"|",C259)</f>
        <v>SOUTH AFRICA|2024</v>
      </c>
      <c r="B259" s="1" t="s">
        <v>265</v>
      </c>
      <c r="C259" s="1">
        <v>2024</v>
      </c>
      <c r="D259" s="4">
        <v>112600000000000</v>
      </c>
      <c r="E259" s="3">
        <v>5.4307116099999997E-2</v>
      </c>
      <c r="F259" s="2">
        <v>8161972572</v>
      </c>
      <c r="G259" s="3">
        <v>8.8964860320000002E-3</v>
      </c>
      <c r="H259" s="4">
        <v>401145000000</v>
      </c>
      <c r="I259" s="3">
        <v>5.1657570889999997E-2</v>
      </c>
      <c r="J259" s="2">
        <v>64007187</v>
      </c>
      <c r="K259" s="3">
        <v>1.2573533059999999E-2</v>
      </c>
      <c r="L259" s="3">
        <v>3.5625666069999998E-3</v>
      </c>
      <c r="M259" s="4">
        <v>119761300000</v>
      </c>
      <c r="N259" s="4">
        <v>127531600000</v>
      </c>
      <c r="O259" s="4">
        <v>7770300000</v>
      </c>
      <c r="P259" s="3">
        <v>1.937030251E-2</v>
      </c>
      <c r="Q259" s="3">
        <v>0.78723407089999997</v>
      </c>
      <c r="R259" s="3">
        <v>-9.1067220199999993E-3</v>
      </c>
      <c r="S259" s="4">
        <v>315795011385</v>
      </c>
      <c r="T259" s="3">
        <v>7.4175400000000002E-2</v>
      </c>
      <c r="U259" s="4">
        <v>23424221287</v>
      </c>
      <c r="V259" s="3">
        <v>5.8393402109999999E-2</v>
      </c>
      <c r="W259" s="5">
        <v>4.3611519999999897E-2</v>
      </c>
      <c r="X259" s="4">
        <v>6267.1868400000003</v>
      </c>
      <c r="Y259" s="4">
        <v>5993.8652949999996</v>
      </c>
      <c r="Z259" s="6">
        <v>0.73424999999999996</v>
      </c>
      <c r="AA259" s="3">
        <v>7.8929306789999997E-3</v>
      </c>
      <c r="AB259" s="6">
        <v>0.63</v>
      </c>
      <c r="AC259" s="3">
        <v>-6.3492063490000004E-3</v>
      </c>
      <c r="AD259" s="6">
        <v>0.10425</v>
      </c>
      <c r="AE259" s="3">
        <v>0.1497425</v>
      </c>
      <c r="AF259" s="3">
        <v>8.0742499999999995E-2</v>
      </c>
      <c r="AG259" s="3">
        <v>5.5442499999999999E-2</v>
      </c>
      <c r="AH259" s="3">
        <v>6.0442500000000003E-2</v>
      </c>
      <c r="AI259" s="3">
        <v>0.34637000000000001</v>
      </c>
      <c r="AJ259" s="6">
        <v>0.31090946699999999</v>
      </c>
      <c r="AK259" s="4">
        <v>624.860457</v>
      </c>
      <c r="AL259" t="s">
        <v>38</v>
      </c>
      <c r="AM259" t="s">
        <v>266</v>
      </c>
      <c r="AN259" t="str">
        <f t="shared" ref="AN259:AN265" si="9">_xlfn.CONCAT(_xlfn.IFS(
AJ259&gt;=0.7,"Superb",
AJ259&gt;=0.51,"Excellent",
AJ259&gt;=0.41,"Good",
AJ259&gt;=0.31,"Satisfactory",
AJ259&gt;=0.26,"Moderate",
AJ259&gt;=0.1,"Weak",
AJ259&lt;0.1,"Very Weak"
), " Economic Resilience with ",_xlfn.IFS(
AK259&lt;=2500,"Very Weak",
AK259&lt;=5000,"Poor",
AK259&lt;=10000,"Challenging",
AK259&lt;=12500,"Border Line",
AK259&lt;=15000,"Improved",
AK259&lt;=20000,"Moderate",
AK259&lt;=25000,"Satisfactory",
AK259&lt;=30000,"Good",
AK259&lt;=35000,"Very Good",
AK259&lt;=40000,"High",
AK259&lt;=50000,"Excellent",
AK259&lt;=100000,"Superb",
AK259&gt;100000,"Superb"
), " Affordability.")</f>
        <v>Satisfactory Economic Resilience with Very Weak Affordability.</v>
      </c>
      <c r="AP259" t="s">
        <v>40</v>
      </c>
    </row>
    <row r="260" spans="1:42" x14ac:dyDescent="0.4">
      <c r="A260" t="str">
        <f t="shared" si="8"/>
        <v>SOUTH AFRICA|2025</v>
      </c>
      <c r="B260" s="1" t="s">
        <v>265</v>
      </c>
      <c r="C260" s="1">
        <v>2025</v>
      </c>
      <c r="D260" s="4">
        <v>113795678000000</v>
      </c>
      <c r="E260" s="3">
        <v>1.061880995E-2</v>
      </c>
      <c r="F260" s="2">
        <v>8231613070</v>
      </c>
      <c r="G260" s="3">
        <v>8.5323121809999999E-3</v>
      </c>
      <c r="H260" s="4">
        <v>426380000000</v>
      </c>
      <c r="I260" s="3">
        <v>6.2907427490000001E-2</v>
      </c>
      <c r="J260" s="2">
        <v>64010000</v>
      </c>
      <c r="K260" s="5">
        <v>4.3948189759999997E-5</v>
      </c>
      <c r="L260" s="3">
        <v>3.7468909850000001E-3</v>
      </c>
      <c r="M260" s="4">
        <v>126000000000</v>
      </c>
      <c r="N260" s="4">
        <v>164000000000</v>
      </c>
      <c r="O260" s="4">
        <v>38000000000</v>
      </c>
      <c r="P260" s="3">
        <v>8.9122379099999996E-2</v>
      </c>
      <c r="Q260" s="3">
        <v>0.77999906190000001</v>
      </c>
      <c r="R260" s="3">
        <v>-9.1904165889999997E-3</v>
      </c>
      <c r="S260" s="4">
        <v>332576000000</v>
      </c>
      <c r="T260" s="3">
        <v>6.7500000000000004E-2</v>
      </c>
      <c r="U260" s="4">
        <v>22448880000</v>
      </c>
      <c r="V260" s="3">
        <v>5.2649936680000002E-2</v>
      </c>
      <c r="W260" s="3">
        <v>3.4000000000000002E-2</v>
      </c>
      <c r="X260" s="4">
        <v>6661.1466959999998</v>
      </c>
      <c r="Y260" s="4">
        <v>6434.6677079999999</v>
      </c>
      <c r="Z260" s="6">
        <v>0.74</v>
      </c>
      <c r="AA260" s="3">
        <v>7.8311201909999992E-3</v>
      </c>
      <c r="AB260" s="6">
        <v>0.63</v>
      </c>
      <c r="AC260" s="3">
        <v>0</v>
      </c>
      <c r="AD260" s="6">
        <v>0.11</v>
      </c>
      <c r="AE260" s="3">
        <v>0.15429999999999999</v>
      </c>
      <c r="AF260" s="3">
        <v>8.5300000000000001E-2</v>
      </c>
      <c r="AG260" s="3">
        <v>0.06</v>
      </c>
      <c r="AH260" s="3">
        <v>6.5000000000000002E-2</v>
      </c>
      <c r="AI260" s="3">
        <v>0.36459999999999998</v>
      </c>
      <c r="AJ260" s="6">
        <v>0.40481933339999998</v>
      </c>
      <c r="AK260" s="4">
        <v>707.81344790000003</v>
      </c>
      <c r="AL260" t="s">
        <v>38</v>
      </c>
      <c r="AM260" t="s">
        <v>122</v>
      </c>
      <c r="AN260" t="str">
        <f t="shared" si="9"/>
        <v>Satisfactory Economic Resilience with Very Weak Affordability.</v>
      </c>
      <c r="AO260" t="s">
        <v>328</v>
      </c>
      <c r="AP260" t="s">
        <v>40</v>
      </c>
    </row>
    <row r="261" spans="1:42" x14ac:dyDescent="0.4">
      <c r="A261" t="str">
        <f t="shared" si="8"/>
        <v>SOUTH AFRICA|2026</v>
      </c>
      <c r="B261" s="1" t="s">
        <v>265</v>
      </c>
      <c r="C261" s="1">
        <v>2026</v>
      </c>
      <c r="D261" s="4">
        <v>120063810405112</v>
      </c>
      <c r="E261" s="3">
        <v>5.5082341569999999E-2</v>
      </c>
      <c r="F261" s="2">
        <v>8302201675</v>
      </c>
      <c r="G261" s="3">
        <v>8.575306441E-3</v>
      </c>
      <c r="H261" s="4">
        <v>429495895987</v>
      </c>
      <c r="I261" s="3">
        <v>7.307791141E-3</v>
      </c>
      <c r="J261" s="2">
        <v>65041524.649999999</v>
      </c>
      <c r="K261" s="3">
        <v>1.6115054739999999E-2</v>
      </c>
      <c r="L261" s="3">
        <v>3.5772302620000001E-3</v>
      </c>
      <c r="M261" s="4">
        <v>136063945714</v>
      </c>
      <c r="N261" s="4">
        <v>160567942857</v>
      </c>
      <c r="O261" s="4">
        <v>24503997143</v>
      </c>
      <c r="P261" s="3">
        <v>5.7052924999999997E-2</v>
      </c>
      <c r="Q261" s="3">
        <v>0.81635233169999999</v>
      </c>
      <c r="R261" s="3">
        <v>4.6606812230000003E-2</v>
      </c>
      <c r="S261" s="4">
        <v>350619976139</v>
      </c>
      <c r="T261" s="3">
        <v>7.5479119999999997E-2</v>
      </c>
      <c r="U261" s="4">
        <v>26464487253</v>
      </c>
      <c r="V261" s="3">
        <v>6.1617555609999999E-2</v>
      </c>
      <c r="W261" s="3">
        <v>4.9193895709999998E-2</v>
      </c>
      <c r="X261" s="4">
        <v>6603.4106410000004</v>
      </c>
      <c r="Y261" s="4">
        <v>6278.5631460000004</v>
      </c>
      <c r="Z261" s="6">
        <v>0.73657499969999995</v>
      </c>
      <c r="AA261" s="3">
        <v>-4.628378721E-3</v>
      </c>
      <c r="AB261" s="6">
        <v>0.64237816510000001</v>
      </c>
      <c r="AC261" s="3">
        <v>1.9269280529999998E-2</v>
      </c>
      <c r="AD261" s="6">
        <v>9.4196834679999994E-2</v>
      </c>
      <c r="AE261" s="3">
        <v>0.15885750000000001</v>
      </c>
      <c r="AF261" s="3">
        <v>8.9857500000000007E-2</v>
      </c>
      <c r="AG261" s="3">
        <v>6.4557500000000004E-2</v>
      </c>
      <c r="AH261" s="3">
        <v>6.9557499999999994E-2</v>
      </c>
      <c r="AI261" s="3">
        <v>0.38283</v>
      </c>
      <c r="AJ261" s="6">
        <v>0.38184259970000001</v>
      </c>
      <c r="AK261" s="4">
        <v>591.42077470000004</v>
      </c>
      <c r="AL261" t="s">
        <v>38</v>
      </c>
      <c r="AM261" t="s">
        <v>268</v>
      </c>
      <c r="AN261" t="str">
        <f t="shared" si="9"/>
        <v>Satisfactory Economic Resilience with Very Weak Affordability.</v>
      </c>
      <c r="AP261" t="s">
        <v>40</v>
      </c>
    </row>
    <row r="262" spans="1:42" x14ac:dyDescent="0.4">
      <c r="A262" t="str">
        <f t="shared" si="8"/>
        <v>SOUTH AFRICA|2027</v>
      </c>
      <c r="B262" s="1" t="s">
        <v>265</v>
      </c>
      <c r="C262" s="1">
        <v>2027</v>
      </c>
      <c r="D262" s="4">
        <v>125735541889780</v>
      </c>
      <c r="E262" s="3">
        <v>4.7239309379999997E-2</v>
      </c>
      <c r="F262" s="2">
        <v>8372937901</v>
      </c>
      <c r="G262" s="3">
        <v>8.5201768609999996E-3</v>
      </c>
      <c r="H262" s="4">
        <v>435751480402</v>
      </c>
      <c r="I262" s="3">
        <v>1.4564945730000001E-2</v>
      </c>
      <c r="J262" s="2">
        <v>65907412.170000002</v>
      </c>
      <c r="K262" s="3">
        <v>1.33128416E-2</v>
      </c>
      <c r="L262" s="3">
        <v>3.4656189800000002E-3</v>
      </c>
      <c r="M262" s="4">
        <v>142057154286</v>
      </c>
      <c r="N262" s="4">
        <v>169096114286</v>
      </c>
      <c r="O262" s="4">
        <v>27038960000</v>
      </c>
      <c r="P262" s="3">
        <v>6.2051332510000001E-2</v>
      </c>
      <c r="Q262" s="3">
        <v>0.84262666009999998</v>
      </c>
      <c r="R262" s="3">
        <v>3.2185035039999997E-2</v>
      </c>
      <c r="S262" s="4">
        <v>367175814559</v>
      </c>
      <c r="T262" s="3">
        <v>8.2893399640000004E-2</v>
      </c>
      <c r="U262" s="4">
        <v>30436451535</v>
      </c>
      <c r="V262" s="3">
        <v>6.9848188480000004E-2</v>
      </c>
      <c r="W262" s="3">
        <v>4.9767279290000001E-2</v>
      </c>
      <c r="X262" s="4">
        <v>6611.5701719999997</v>
      </c>
      <c r="Y262" s="4">
        <v>6282.5303130000002</v>
      </c>
      <c r="Z262" s="6">
        <v>0.73597543740000004</v>
      </c>
      <c r="AA262" s="3">
        <v>-8.1398685749999998E-4</v>
      </c>
      <c r="AB262" s="6">
        <v>0.65099582099999997</v>
      </c>
      <c r="AC262" s="3">
        <v>1.3237651620000001E-2</v>
      </c>
      <c r="AD262" s="6">
        <v>8.4979616420000001E-2</v>
      </c>
      <c r="AE262" s="3">
        <v>0.16364287499999999</v>
      </c>
      <c r="AF262" s="3">
        <v>9.4642875000000001E-2</v>
      </c>
      <c r="AG262" s="3">
        <v>6.9342874999999998E-2</v>
      </c>
      <c r="AH262" s="3">
        <v>7.4342875000000003E-2</v>
      </c>
      <c r="AI262" s="3">
        <v>0.40197149999999998</v>
      </c>
      <c r="AJ262" s="6">
        <v>0.39764026299999999</v>
      </c>
      <c r="AK262" s="4">
        <v>533.88701609999998</v>
      </c>
      <c r="AL262" t="s">
        <v>38</v>
      </c>
      <c r="AM262" t="s">
        <v>122</v>
      </c>
      <c r="AN262" t="str">
        <f t="shared" si="9"/>
        <v>Satisfactory Economic Resilience with Very Weak Affordability.</v>
      </c>
      <c r="AP262" t="s">
        <v>40</v>
      </c>
    </row>
    <row r="263" spans="1:42" x14ac:dyDescent="0.4">
      <c r="A263" t="str">
        <f t="shared" si="8"/>
        <v>SOUTH AFRICA|2028</v>
      </c>
      <c r="B263" s="1" t="s">
        <v>265</v>
      </c>
      <c r="C263" s="1">
        <v>2028</v>
      </c>
      <c r="D263" s="4">
        <v>131237442252096</v>
      </c>
      <c r="E263" s="3">
        <v>4.375771782E-2</v>
      </c>
      <c r="F263" s="2">
        <v>8443822776</v>
      </c>
      <c r="G263" s="3">
        <v>8.465950178E-3</v>
      </c>
      <c r="H263" s="4">
        <v>443114405160</v>
      </c>
      <c r="I263" s="3">
        <v>1.6897073419999999E-2</v>
      </c>
      <c r="J263" s="2">
        <v>66718008.140000001</v>
      </c>
      <c r="K263" s="3">
        <v>1.2299010710000001E-2</v>
      </c>
      <c r="L263" s="3">
        <v>3.3764328040000002E-3</v>
      </c>
      <c r="M263" s="4">
        <v>148050362857</v>
      </c>
      <c r="N263" s="4">
        <v>177624285714</v>
      </c>
      <c r="O263" s="4">
        <v>29573922857</v>
      </c>
      <c r="P263" s="3">
        <v>6.6741054930000002E-2</v>
      </c>
      <c r="Q263" s="3">
        <v>0.86549291669999995</v>
      </c>
      <c r="R263" s="3">
        <v>2.7136877730000002E-2</v>
      </c>
      <c r="S263" s="4">
        <v>383512378966</v>
      </c>
      <c r="T263" s="3">
        <v>9.0307679289999998E-2</v>
      </c>
      <c r="U263" s="4">
        <v>34634112922</v>
      </c>
      <c r="V263" s="3">
        <v>7.8160656750000002E-2</v>
      </c>
      <c r="W263" s="3">
        <v>5.0340662860000003E-2</v>
      </c>
      <c r="X263" s="4">
        <v>6641.6012339999997</v>
      </c>
      <c r="Y263" s="4">
        <v>6307.2586250000004</v>
      </c>
      <c r="Z263" s="6">
        <v>0.7363366375</v>
      </c>
      <c r="AA263" s="3">
        <v>4.9077737109999998E-4</v>
      </c>
      <c r="AB263" s="6">
        <v>0.65834086349999998</v>
      </c>
      <c r="AC263" s="3">
        <v>1.1156899059999999E-2</v>
      </c>
      <c r="AD263" s="6">
        <v>7.799577395E-2</v>
      </c>
      <c r="AE263" s="3">
        <v>0.1686675188</v>
      </c>
      <c r="AF263" s="3">
        <v>9.9667518750000003E-2</v>
      </c>
      <c r="AG263" s="3">
        <v>7.436751875E-2</v>
      </c>
      <c r="AH263" s="3">
        <v>7.9367518750000005E-2</v>
      </c>
      <c r="AI263" s="3">
        <v>0.42207007499999999</v>
      </c>
      <c r="AJ263" s="6">
        <v>0.41402690599999997</v>
      </c>
      <c r="AK263" s="4">
        <v>491.93951800000002</v>
      </c>
      <c r="AL263" t="s">
        <v>38</v>
      </c>
      <c r="AM263" t="s">
        <v>269</v>
      </c>
      <c r="AN263" t="str">
        <f t="shared" si="9"/>
        <v>Good Economic Resilience with Very Weak Affordability.</v>
      </c>
      <c r="AP263" t="s">
        <v>40</v>
      </c>
    </row>
    <row r="264" spans="1:42" x14ac:dyDescent="0.4">
      <c r="A264" t="str">
        <f t="shared" si="8"/>
        <v>SOUTH AFRICA|2029</v>
      </c>
      <c r="B264" s="1" t="s">
        <v>265</v>
      </c>
      <c r="C264" s="1">
        <v>2029</v>
      </c>
      <c r="D264" s="4">
        <v>136712479650225</v>
      </c>
      <c r="E264" s="3">
        <v>4.1718562200000003E-2</v>
      </c>
      <c r="F264" s="2">
        <v>8514849364</v>
      </c>
      <c r="G264" s="3">
        <v>8.4116624760000001E-3</v>
      </c>
      <c r="H264" s="4">
        <v>450898077136</v>
      </c>
      <c r="I264" s="3">
        <v>1.7565829240000001E-2</v>
      </c>
      <c r="J264" s="2">
        <v>67510163.719999999</v>
      </c>
      <c r="K264" s="3">
        <v>1.1873189920000001E-2</v>
      </c>
      <c r="L264" s="3">
        <v>3.298148628E-3</v>
      </c>
      <c r="M264" s="4">
        <v>154043571429</v>
      </c>
      <c r="N264" s="4">
        <v>184689409127</v>
      </c>
      <c r="O264" s="4">
        <v>30645837698</v>
      </c>
      <c r="P264" s="3">
        <v>6.7966219529999997E-2</v>
      </c>
      <c r="Q264" s="3">
        <v>0.88721086260000004</v>
      </c>
      <c r="R264" s="3">
        <v>2.5093152609999999E-2</v>
      </c>
      <c r="S264" s="4">
        <v>400041671947</v>
      </c>
      <c r="T264" s="3">
        <v>9.7721958930000005E-2</v>
      </c>
      <c r="U264" s="4">
        <v>39092855836</v>
      </c>
      <c r="V264" s="3">
        <v>8.6699983470000005E-2</v>
      </c>
      <c r="W264" s="3">
        <v>5.0914046429999998E-2</v>
      </c>
      <c r="X264" s="4">
        <v>6678.9658369999997</v>
      </c>
      <c r="Y264" s="4">
        <v>6338.91266</v>
      </c>
      <c r="Z264" s="6">
        <v>0.7370391597</v>
      </c>
      <c r="AA264" s="3">
        <v>9.5407755449999996E-4</v>
      </c>
      <c r="AB264" s="6">
        <v>0.66524064510000003</v>
      </c>
      <c r="AC264" s="3">
        <v>1.0371858039999999E-2</v>
      </c>
      <c r="AD264" s="6">
        <v>7.1798514669999994E-2</v>
      </c>
      <c r="AE264" s="3">
        <v>0.1739433947</v>
      </c>
      <c r="AF264" s="3">
        <v>0.1049433947</v>
      </c>
      <c r="AG264" s="3">
        <v>7.9643394689999994E-2</v>
      </c>
      <c r="AH264" s="3">
        <v>8.4643394689999998E-2</v>
      </c>
      <c r="AI264" s="3">
        <v>0.44317357880000002</v>
      </c>
      <c r="AJ264" s="6">
        <v>0.42773796339999998</v>
      </c>
      <c r="AK264" s="4">
        <v>455.1245136</v>
      </c>
      <c r="AL264" t="s">
        <v>38</v>
      </c>
      <c r="AM264" t="s">
        <v>123</v>
      </c>
      <c r="AN264" t="str">
        <f t="shared" si="9"/>
        <v>Good Economic Resilience with Very Weak Affordability.</v>
      </c>
      <c r="AP264" t="s">
        <v>40</v>
      </c>
    </row>
    <row r="265" spans="1:42" x14ac:dyDescent="0.4">
      <c r="A265" t="str">
        <f t="shared" si="8"/>
        <v>SOUTH AFRICA|2030</v>
      </c>
      <c r="B265" s="1" t="s">
        <v>265</v>
      </c>
      <c r="C265" s="1">
        <v>2030</v>
      </c>
      <c r="D265" s="4">
        <v>141834754671550</v>
      </c>
      <c r="E265" s="3"/>
      <c r="F265" s="2">
        <v>8586617399</v>
      </c>
      <c r="G265" s="3"/>
      <c r="H265" s="4">
        <v>453802610880</v>
      </c>
      <c r="I265" s="3"/>
      <c r="J265" s="2">
        <v>68200573.640000001</v>
      </c>
      <c r="K265" s="3"/>
      <c r="L265" s="3">
        <v>3.19951631E-3</v>
      </c>
      <c r="M265" s="4">
        <v>160036780000</v>
      </c>
      <c r="N265" s="4">
        <v>193864218342</v>
      </c>
      <c r="O265" s="4">
        <v>33827438342</v>
      </c>
      <c r="P265" s="3">
        <v>7.454218537E-2</v>
      </c>
      <c r="Q265" s="3">
        <v>0.90857984349999998</v>
      </c>
      <c r="R265" s="3"/>
      <c r="S265" s="4">
        <v>412315905191</v>
      </c>
      <c r="T265" s="3">
        <v>0.1051362386</v>
      </c>
      <c r="U265" s="4">
        <v>43349343375</v>
      </c>
      <c r="V265" s="3">
        <v>9.5524667189999996E-2</v>
      </c>
      <c r="W265" s="3">
        <v>5.1487430000000001E-2</v>
      </c>
      <c r="X265" s="4">
        <v>6653.9412590000002</v>
      </c>
      <c r="Y265" s="4">
        <v>6311.3469249999998</v>
      </c>
      <c r="Z265" s="6">
        <v>0.73786726680000003</v>
      </c>
      <c r="AA265" s="3"/>
      <c r="AB265" s="6">
        <v>0.67198416510000003</v>
      </c>
      <c r="AD265" s="6">
        <v>6.5883101799999996E-2</v>
      </c>
      <c r="AE265" s="3">
        <v>0.1794830644</v>
      </c>
      <c r="AF265" s="3">
        <v>0.1104830644</v>
      </c>
      <c r="AG265" s="3">
        <v>8.5183064419999996E-2</v>
      </c>
      <c r="AH265" s="3">
        <v>9.018306442E-2</v>
      </c>
      <c r="AI265" s="3">
        <v>0.46533225769999997</v>
      </c>
      <c r="AJ265" s="6">
        <v>0.4475492922</v>
      </c>
      <c r="AK265" s="4">
        <v>415.81111190000001</v>
      </c>
      <c r="AL265" t="s">
        <v>38</v>
      </c>
      <c r="AM265" t="s">
        <v>124</v>
      </c>
      <c r="AN265" t="str">
        <f t="shared" si="9"/>
        <v>Good Economic Resilience with Very Weak Affordability.</v>
      </c>
      <c r="AP265" t="s">
        <v>40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C3735-6498-4854-8AF4-7E6639C3205B}">
  <dimension ref="A1:G26"/>
  <sheetViews>
    <sheetView zoomScale="128" workbookViewId="0">
      <selection activeCell="D5" sqref="D5"/>
    </sheetView>
  </sheetViews>
  <sheetFormatPr defaultRowHeight="14.6" x14ac:dyDescent="0.4"/>
  <cols>
    <col min="1" max="1" width="32.3046875" bestFit="1" customWidth="1"/>
    <col min="2" max="2" width="13.921875" bestFit="1" customWidth="1"/>
    <col min="3" max="3" width="15.53515625" bestFit="1" customWidth="1"/>
    <col min="4" max="4" width="10.53515625" bestFit="1" customWidth="1"/>
    <col min="5" max="5" width="20.921875" bestFit="1" customWidth="1"/>
    <col min="6" max="6" width="12.4609375" bestFit="1" customWidth="1"/>
    <col min="7" max="7" width="52.4609375" bestFit="1" customWidth="1"/>
  </cols>
  <sheetData>
    <row r="1" spans="1:7" x14ac:dyDescent="0.4">
      <c r="A1" s="1" t="s">
        <v>0</v>
      </c>
      <c r="B1">
        <f>'G20+3 Countries'!B3</f>
        <v>2025</v>
      </c>
    </row>
    <row r="3" spans="1:7" x14ac:dyDescent="0.4">
      <c r="A3" s="1" t="str">
        <f>'G20+3 Countries'!B4</f>
        <v>2025 - HEART SCORE G-20+2 RANKING</v>
      </c>
      <c r="B3" s="1"/>
      <c r="C3" s="1" t="s">
        <v>272</v>
      </c>
      <c r="D3" s="1" t="s">
        <v>33</v>
      </c>
      <c r="E3" s="1" t="s">
        <v>34</v>
      </c>
      <c r="F3" s="1" t="s">
        <v>273</v>
      </c>
      <c r="G3" s="1" t="s">
        <v>274</v>
      </c>
    </row>
    <row r="4" spans="1:7" x14ac:dyDescent="0.4">
      <c r="A4" s="1" t="s">
        <v>275</v>
      </c>
      <c r="B4" s="1" t="s">
        <v>276</v>
      </c>
      <c r="C4" s="1"/>
      <c r="D4" s="1"/>
      <c r="E4" s="1"/>
      <c r="F4" s="1"/>
      <c r="G4" s="1"/>
    </row>
    <row r="5" spans="1:7" x14ac:dyDescent="0.4">
      <c r="A5">
        <f>_xlfn.RANK.EQ(D5,$D$5:$D$26,0)</f>
        <v>20</v>
      </c>
      <c r="B5">
        <f>_xlfn.RANK.EQ(E5,$E$5:$E$26,0)</f>
        <v>17</v>
      </c>
      <c r="C5" t="s">
        <v>277</v>
      </c>
      <c r="D5" s="6">
        <f>VLOOKUP(_xlfn.CONCAT(UPPER(C5),"|",$B$1),MasterSheet_WithPredictive!A:AP,36,FALSE)</f>
        <v>0.21731494069999999</v>
      </c>
      <c r="E5" s="6">
        <f>VLOOKUP(_xlfn.CONCAT(UPPER(C5),"|",$B$1),MasterSheet_WithPredictive!A:AP,37,FALSE)</f>
        <v>4641.7306269999999</v>
      </c>
      <c r="F5" t="str">
        <f>VLOOKUP(_xlfn.CONCAT(UPPER(C5),"|",$B$1),MasterSheet_WithPredictive!A:AP,39,FALSE)</f>
        <v>0.22D</v>
      </c>
      <c r="G5" t="str">
        <f>VLOOKUP(_xlfn.CONCAT(UPPER(C5),"|",$B$1),MasterSheet_WithPredictive!A:AP,40,FALSE)</f>
        <v>Weak Economic Resilience with Poor Affordability.</v>
      </c>
    </row>
    <row r="6" spans="1:7" x14ac:dyDescent="0.4">
      <c r="A6">
        <f t="shared" ref="A6:A26" si="0">_xlfn.RANK.EQ(D6,$D$5:$D$26,0)</f>
        <v>17</v>
      </c>
      <c r="B6">
        <f t="shared" ref="B6:B26" si="1">_xlfn.RANK.EQ(E6,$E$5:$E$26,0)</f>
        <v>4</v>
      </c>
      <c r="C6" t="s">
        <v>278</v>
      </c>
      <c r="D6" s="6">
        <f>VLOOKUP(_xlfn.CONCAT(UPPER(C6),"|",$B$1),MasterSheet_WithPredictive!A:AP,36,FALSE)</f>
        <v>0.33887795059999998</v>
      </c>
      <c r="E6" s="6">
        <f>VLOOKUP(_xlfn.CONCAT(UPPER(C6),"|",$B$1),MasterSheet_WithPredictive!A:AP,37,FALSE)</f>
        <v>39300.546520000004</v>
      </c>
      <c r="F6" t="str">
        <f>VLOOKUP(_xlfn.CONCAT(UPPER(C6),"|",$B$1),MasterSheet_WithPredictive!A:AP,39,FALSE)</f>
        <v>0.34A-</v>
      </c>
      <c r="G6" t="str">
        <f>VLOOKUP(_xlfn.CONCAT(UPPER(C6),"|",$B$1),MasterSheet_WithPredictive!A:AP,40,FALSE)</f>
        <v>Satisfactory Economic Resilience with High Affordability.</v>
      </c>
    </row>
    <row r="7" spans="1:7" x14ac:dyDescent="0.4">
      <c r="A7">
        <f t="shared" si="0"/>
        <v>18</v>
      </c>
      <c r="B7">
        <f t="shared" si="1"/>
        <v>19</v>
      </c>
      <c r="C7" t="s">
        <v>279</v>
      </c>
      <c r="D7" s="6">
        <f>VLOOKUP(_xlfn.CONCAT(UPPER(C7),"|",$B$1),MasterSheet_WithPredictive!A:AP,36,FALSE)</f>
        <v>0.32956975719999998</v>
      </c>
      <c r="E7" s="6">
        <f>VLOOKUP(_xlfn.CONCAT(UPPER(C7),"|",$B$1),MasterSheet_WithPredictive!A:AP,37,FALSE)</f>
        <v>2582.0100000000002</v>
      </c>
      <c r="F7" t="str">
        <f>VLOOKUP(_xlfn.CONCAT(UPPER(C7),"|",$B$1),MasterSheet_WithPredictive!A:AP,39,FALSE)</f>
        <v>0.33D</v>
      </c>
      <c r="G7" t="str">
        <f>VLOOKUP(_xlfn.CONCAT(UPPER(C7),"|",$B$1),MasterSheet_WithPredictive!A:AP,40,FALSE)</f>
        <v>Satisfactory Economic Resilience with Poor Affordability.</v>
      </c>
    </row>
    <row r="8" spans="1:7" x14ac:dyDescent="0.4">
      <c r="A8">
        <f t="shared" si="0"/>
        <v>12</v>
      </c>
      <c r="B8">
        <f t="shared" si="1"/>
        <v>6</v>
      </c>
      <c r="C8" t="s">
        <v>280</v>
      </c>
      <c r="D8" s="6">
        <f>VLOOKUP(_xlfn.CONCAT(UPPER(C8),"|",$B$1),MasterSheet_WithPredictive!A:AP,36,FALSE)</f>
        <v>0.41057598169999998</v>
      </c>
      <c r="E8" s="6">
        <f>VLOOKUP(_xlfn.CONCAT(UPPER(C8),"|",$B$1),MasterSheet_WithPredictive!A:AP,37,FALSE)</f>
        <v>34043.939350000001</v>
      </c>
      <c r="F8" t="str">
        <f>VLOOKUP(_xlfn.CONCAT(UPPER(C8),"|",$B$1),MasterSheet_WithPredictive!A:AP,39,FALSE)</f>
        <v>0.41B+</v>
      </c>
      <c r="G8" t="str">
        <f>VLOOKUP(_xlfn.CONCAT(UPPER(C8),"|",$B$1),MasterSheet_WithPredictive!A:AP,40,FALSE)</f>
        <v>Good Economic Resilience with Very Good Affordability.</v>
      </c>
    </row>
    <row r="9" spans="1:7" x14ac:dyDescent="0.4">
      <c r="A9">
        <f t="shared" si="0"/>
        <v>2</v>
      </c>
      <c r="B9">
        <f t="shared" si="1"/>
        <v>15</v>
      </c>
      <c r="C9" t="s">
        <v>281</v>
      </c>
      <c r="D9" s="6">
        <f>VLOOKUP(_xlfn.CONCAT(UPPER(C9),"|",$B$1),MasterSheet_WithPredictive!A:AP,36,FALSE)</f>
        <v>0.72928133340000001</v>
      </c>
      <c r="E9" s="6">
        <f>VLOOKUP(_xlfn.CONCAT(UPPER(C9),"|",$B$1),MasterSheet_WithPredictive!A:AP,37,FALSE)</f>
        <v>5918.0469999999996</v>
      </c>
      <c r="F9" t="str">
        <f>VLOOKUP(_xlfn.CONCAT(UPPER(C9),"|",$B$1),MasterSheet_WithPredictive!A:AP,39,FALSE)</f>
        <v>0.73D+</v>
      </c>
      <c r="G9" t="str">
        <f>VLOOKUP(_xlfn.CONCAT(UPPER(C9),"|",$B$1),MasterSheet_WithPredictive!A:AP,40,FALSE)</f>
        <v>Superb Economic Resilience with Challenging Affordability.</v>
      </c>
    </row>
    <row r="10" spans="1:7" x14ac:dyDescent="0.4">
      <c r="A10">
        <f t="shared" si="0"/>
        <v>10</v>
      </c>
      <c r="B10">
        <f t="shared" si="1"/>
        <v>8</v>
      </c>
      <c r="C10" t="s">
        <v>282</v>
      </c>
      <c r="D10" s="6">
        <f>VLOOKUP(_xlfn.CONCAT(UPPER(C10),"|",$B$1),MasterSheet_WithPredictive!A:AP,36,FALSE)</f>
        <v>0.44373071130000002</v>
      </c>
      <c r="E10" s="6">
        <f>VLOOKUP(_xlfn.CONCAT(UPPER(C10),"|",$B$1),MasterSheet_WithPredictive!A:AP,37,FALSE)</f>
        <v>28532.028569999999</v>
      </c>
      <c r="F10" t="str">
        <f>VLOOKUP(_xlfn.CONCAT(UPPER(C10),"|",$B$1),MasterSheet_WithPredictive!A:AP,39,FALSE)</f>
        <v>0.44B</v>
      </c>
      <c r="G10" t="str">
        <f>VLOOKUP(_xlfn.CONCAT(UPPER(C10),"|",$B$1),MasterSheet_WithPredictive!A:AP,40,FALSE)</f>
        <v>Good Economic Resilience with Good Affordability.</v>
      </c>
    </row>
    <row r="11" spans="1:7" x14ac:dyDescent="0.4">
      <c r="A11">
        <f t="shared" si="0"/>
        <v>4</v>
      </c>
      <c r="B11">
        <f t="shared" si="1"/>
        <v>5</v>
      </c>
      <c r="C11" t="s">
        <v>283</v>
      </c>
      <c r="D11" s="6">
        <f>VLOOKUP(_xlfn.CONCAT(UPPER(C11),"|",$B$1),MasterSheet_WithPredictive!A:AP,36,FALSE)</f>
        <v>0.54069390090000002</v>
      </c>
      <c r="E11" s="6">
        <f>VLOOKUP(_xlfn.CONCAT(UPPER(C11),"|",$B$1),MasterSheet_WithPredictive!A:AP,37,FALSE)</f>
        <v>37028.409090000001</v>
      </c>
      <c r="F11" t="str">
        <f>VLOOKUP(_xlfn.CONCAT(UPPER(C11),"|",$B$1),MasterSheet_WithPredictive!A:AP,39,FALSE)</f>
        <v>0.54A-</v>
      </c>
      <c r="G11" t="str">
        <f>VLOOKUP(_xlfn.CONCAT(UPPER(C11),"|",$B$1),MasterSheet_WithPredictive!A:AP,40,FALSE)</f>
        <v>Excellent Economic Resilience with High Affordability.</v>
      </c>
    </row>
    <row r="12" spans="1:7" x14ac:dyDescent="0.4">
      <c r="A12">
        <f t="shared" si="0"/>
        <v>22</v>
      </c>
      <c r="B12">
        <f t="shared" si="1"/>
        <v>21</v>
      </c>
      <c r="C12" t="s">
        <v>284</v>
      </c>
      <c r="D12" s="6">
        <f>VLOOKUP(_xlfn.CONCAT(UPPER(C12),"|",$B$1),MasterSheet_WithPredictive!A:AP,36,FALSE)</f>
        <v>0.170648573</v>
      </c>
      <c r="E12" s="6">
        <f>VLOOKUP(_xlfn.CONCAT(UPPER(C12),"|",$B$1),MasterSheet_WithPredictive!A:AP,37,FALSE)</f>
        <v>1019.377329</v>
      </c>
      <c r="F12" t="str">
        <f>VLOOKUP(_xlfn.CONCAT(UPPER(C12),"|",$B$1),MasterSheet_WithPredictive!A:AP,39,FALSE)</f>
        <v>0.17D-</v>
      </c>
      <c r="G12" t="str">
        <f>VLOOKUP(_xlfn.CONCAT(UPPER(C12),"|",$B$1),MasterSheet_WithPredictive!A:AP,40,FALSE)</f>
        <v>Weak Economic Resilience with Very Weak Affordability.</v>
      </c>
    </row>
    <row r="13" spans="1:7" x14ac:dyDescent="0.4">
      <c r="A13">
        <f t="shared" si="0"/>
        <v>11</v>
      </c>
      <c r="B13">
        <f t="shared" si="1"/>
        <v>20</v>
      </c>
      <c r="C13" t="s">
        <v>285</v>
      </c>
      <c r="D13" s="6">
        <f>VLOOKUP(_xlfn.CONCAT(UPPER(C13),"|",$B$1),MasterSheet_WithPredictive!A:AP,36,FALSE)</f>
        <v>0.42820197389999998</v>
      </c>
      <c r="E13" s="6">
        <f>VLOOKUP(_xlfn.CONCAT(UPPER(C13),"|",$B$1),MasterSheet_WithPredictive!A:AP,37,FALSE)</f>
        <v>1718.0679829999999</v>
      </c>
      <c r="F13" t="str">
        <f>VLOOKUP(_xlfn.CONCAT(UPPER(C13),"|",$B$1),MasterSheet_WithPredictive!A:AP,39,FALSE)</f>
        <v>0.43D-</v>
      </c>
      <c r="G13" t="str">
        <f>VLOOKUP(_xlfn.CONCAT(UPPER(C13),"|",$B$1),MasterSheet_WithPredictive!A:AP,40,FALSE)</f>
        <v>Good Economic Resilience with Very Weak Affordability.</v>
      </c>
    </row>
    <row r="14" spans="1:7" x14ac:dyDescent="0.4">
      <c r="A14">
        <f t="shared" si="0"/>
        <v>9</v>
      </c>
      <c r="B14">
        <f t="shared" si="1"/>
        <v>9</v>
      </c>
      <c r="C14" t="s">
        <v>286</v>
      </c>
      <c r="D14" s="6">
        <f>VLOOKUP(_xlfn.CONCAT(UPPER(C14),"|",$B$1),MasterSheet_WithPredictive!A:AP,36,FALSE)</f>
        <v>0.44806751719999999</v>
      </c>
      <c r="E14" s="6">
        <f>VLOOKUP(_xlfn.CONCAT(UPPER(C14),"|",$B$1),MasterSheet_WithPredictive!A:AP,37,FALSE)</f>
        <v>23178.93633</v>
      </c>
      <c r="F14" t="str">
        <f>VLOOKUP(_xlfn.CONCAT(UPPER(C14),"|",$B$1),MasterSheet_WithPredictive!A:AP,39,FALSE)</f>
        <v>0.45B-</v>
      </c>
      <c r="G14" t="str">
        <f>VLOOKUP(_xlfn.CONCAT(UPPER(C14),"|",$B$1),MasterSheet_WithPredictive!A:AP,40,FALSE)</f>
        <v>Good Economic Resilience with Satisfactory Affordability.</v>
      </c>
    </row>
    <row r="15" spans="1:7" x14ac:dyDescent="0.4">
      <c r="A15">
        <f t="shared" si="0"/>
        <v>13</v>
      </c>
      <c r="B15">
        <f t="shared" si="1"/>
        <v>10</v>
      </c>
      <c r="C15" t="s">
        <v>287</v>
      </c>
      <c r="D15" s="6">
        <f>VLOOKUP(_xlfn.CONCAT(UPPER(C15),"|",$B$1),MasterSheet_WithPredictive!A:AP,36,FALSE)</f>
        <v>0.40932409600000003</v>
      </c>
      <c r="E15" s="6">
        <f>VLOOKUP(_xlfn.CONCAT(UPPER(C15),"|",$B$1),MasterSheet_WithPredictive!A:AP,37,FALSE)</f>
        <v>21574.555799999998</v>
      </c>
      <c r="F15" t="str">
        <f>VLOOKUP(_xlfn.CONCAT(UPPER(C15),"|",$B$1),MasterSheet_WithPredictive!A:AP,39,FALSE)</f>
        <v>0.41B-</v>
      </c>
      <c r="G15" t="str">
        <f>VLOOKUP(_xlfn.CONCAT(UPPER(C15),"|",$B$1),MasterSheet_WithPredictive!A:AP,40,FALSE)</f>
        <v>Satisfactory Economic Resilience with Satisfactory Affordability.</v>
      </c>
    </row>
    <row r="16" spans="1:7" x14ac:dyDescent="0.4">
      <c r="A16">
        <f t="shared" si="0"/>
        <v>19</v>
      </c>
      <c r="B16">
        <f t="shared" si="1"/>
        <v>16</v>
      </c>
      <c r="C16" t="s">
        <v>288</v>
      </c>
      <c r="D16" s="6">
        <f>VLOOKUP(_xlfn.CONCAT(UPPER(C16),"|",$B$1),MasterSheet_WithPredictive!A:AP,36,FALSE)</f>
        <v>0.32240578790000002</v>
      </c>
      <c r="E16" s="6">
        <f>VLOOKUP(_xlfn.CONCAT(UPPER(C16),"|",$B$1),MasterSheet_WithPredictive!A:AP,37,FALSE)</f>
        <v>4744.1784680000001</v>
      </c>
      <c r="F16" t="str">
        <f>VLOOKUP(_xlfn.CONCAT(UPPER(C16),"|",$B$1),MasterSheet_WithPredictive!A:AP,39,FALSE)</f>
        <v>0.32D</v>
      </c>
      <c r="G16" t="str">
        <f>VLOOKUP(_xlfn.CONCAT(UPPER(C16),"|",$B$1),MasterSheet_WithPredictive!A:AP,40,FALSE)</f>
        <v>Satisfactory Economic Resilience with Poor Affordability.</v>
      </c>
    </row>
    <row r="17" spans="1:7" x14ac:dyDescent="0.4">
      <c r="A17">
        <f t="shared" si="0"/>
        <v>7</v>
      </c>
      <c r="B17">
        <f t="shared" si="1"/>
        <v>3</v>
      </c>
      <c r="C17" t="s">
        <v>289</v>
      </c>
      <c r="D17" s="6">
        <f>VLOOKUP(_xlfn.CONCAT(UPPER(C17),"|",$B$1),MasterSheet_WithPredictive!A:AP,36,FALSE)</f>
        <v>0.50410353900000004</v>
      </c>
      <c r="E17" s="6">
        <f>VLOOKUP(_xlfn.CONCAT(UPPER(C17),"|",$B$1),MasterSheet_WithPredictive!A:AP,37,FALSE)</f>
        <v>46288.287389999998</v>
      </c>
      <c r="F17" t="str">
        <f>VLOOKUP(_xlfn.CONCAT(UPPER(C17),"|",$B$1),MasterSheet_WithPredictive!A:AP,39,FALSE)</f>
        <v>0.5A</v>
      </c>
      <c r="G17" t="str">
        <f>VLOOKUP(_xlfn.CONCAT(UPPER(C17),"|",$B$1),MasterSheet_WithPredictive!A:AP,40,FALSE)</f>
        <v>Good Economic Resilience with Excellent Affordability.</v>
      </c>
    </row>
    <row r="18" spans="1:7" x14ac:dyDescent="0.4">
      <c r="A18">
        <f t="shared" si="0"/>
        <v>6</v>
      </c>
      <c r="B18">
        <f t="shared" si="1"/>
        <v>14</v>
      </c>
      <c r="C18" t="s">
        <v>290</v>
      </c>
      <c r="D18" s="6">
        <f>VLOOKUP(_xlfn.CONCAT(UPPER(C18),"|",$B$1),MasterSheet_WithPredictive!A:AP,36,FALSE)</f>
        <v>0.5137761716</v>
      </c>
      <c r="E18" s="6">
        <f>VLOOKUP(_xlfn.CONCAT(UPPER(C18),"|",$B$1),MasterSheet_WithPredictive!A:AP,37,FALSE)</f>
        <v>6168.5721940000003</v>
      </c>
      <c r="F18" t="str">
        <f>VLOOKUP(_xlfn.CONCAT(UPPER(C18),"|",$B$1),MasterSheet_WithPredictive!A:AP,39,FALSE)</f>
        <v>0.51D+</v>
      </c>
      <c r="G18" t="str">
        <f>VLOOKUP(_xlfn.CONCAT(UPPER(C18),"|",$B$1),MasterSheet_WithPredictive!A:AP,40,FALSE)</f>
        <v>Excellent Economic Resilience with Challenging Affordability.</v>
      </c>
    </row>
    <row r="19" spans="1:7" x14ac:dyDescent="0.4">
      <c r="A19">
        <f t="shared" si="0"/>
        <v>1</v>
      </c>
      <c r="B19">
        <f t="shared" si="1"/>
        <v>13</v>
      </c>
      <c r="C19" t="s">
        <v>291</v>
      </c>
      <c r="D19" s="6">
        <f>VLOOKUP(_xlfn.CONCAT(UPPER(C19),"|",$B$1),MasterSheet_WithPredictive!A:AP,36,FALSE)</f>
        <v>0.75894907389999999</v>
      </c>
      <c r="E19" s="6">
        <f>VLOOKUP(_xlfn.CONCAT(UPPER(C19),"|",$B$1),MasterSheet_WithPredictive!A:AP,37,FALSE)</f>
        <v>14564.0113</v>
      </c>
      <c r="F19" t="str">
        <f>VLOOKUP(_xlfn.CONCAT(UPPER(C19),"|",$B$1),MasterSheet_WithPredictive!A:AP,39,FALSE)</f>
        <v>0.76C</v>
      </c>
      <c r="G19" t="str">
        <f>VLOOKUP(_xlfn.CONCAT(UPPER(C19),"|",$B$1),MasterSheet_WithPredictive!A:AP,40,FALSE)</f>
        <v>Superb Economic Resilience with Improved Affordability.</v>
      </c>
    </row>
    <row r="20" spans="1:7" x14ac:dyDescent="0.4">
      <c r="A20">
        <f t="shared" si="0"/>
        <v>14</v>
      </c>
      <c r="B20">
        <f t="shared" si="1"/>
        <v>22</v>
      </c>
      <c r="C20" t="s">
        <v>292</v>
      </c>
      <c r="D20" s="6">
        <f>VLOOKUP(_xlfn.CONCAT(UPPER(C20),"|",$B$1),MasterSheet_WithPredictive!A:AP,36,FALSE)</f>
        <v>0.40481933339999998</v>
      </c>
      <c r="E20" s="6">
        <f>VLOOKUP(_xlfn.CONCAT(UPPER(C20),"|",$B$1),MasterSheet_WithPredictive!A:AP,37,FALSE)</f>
        <v>707.81344790000003</v>
      </c>
      <c r="F20" t="str">
        <f>VLOOKUP(_xlfn.CONCAT(UPPER(C20),"|",$B$1),MasterSheet_WithPredictive!A:AP,39,FALSE)</f>
        <v>0.4D-</v>
      </c>
      <c r="G20" t="str">
        <f>VLOOKUP(_xlfn.CONCAT(UPPER(C20),"|",$B$1),MasterSheet_WithPredictive!A:AP,40,FALSE)</f>
        <v>Satisfactory Economic Resilience with Very Weak Affordability.</v>
      </c>
    </row>
    <row r="21" spans="1:7" x14ac:dyDescent="0.4">
      <c r="A21">
        <f t="shared" si="0"/>
        <v>16</v>
      </c>
      <c r="B21">
        <f t="shared" si="1"/>
        <v>12</v>
      </c>
      <c r="C21" t="s">
        <v>293</v>
      </c>
      <c r="D21" s="6">
        <f>VLOOKUP(_xlfn.CONCAT(UPPER(C21),"|",$B$1),MasterSheet_WithPredictive!A:AP,36,FALSE)</f>
        <v>0.36155826279999997</v>
      </c>
      <c r="E21" s="6">
        <f>VLOOKUP(_xlfn.CONCAT(UPPER(C21),"|",$B$1),MasterSheet_WithPredictive!A:AP,37,FALSE)</f>
        <v>20274.343949999999</v>
      </c>
      <c r="F21" t="str">
        <f>VLOOKUP(_xlfn.CONCAT(UPPER(C21),"|",$B$1),MasterSheet_WithPredictive!A:AP,39,FALSE)</f>
        <v>0.36B-</v>
      </c>
      <c r="G21" t="str">
        <f>VLOOKUP(_xlfn.CONCAT(UPPER(C21),"|",$B$1),MasterSheet_WithPredictive!A:AP,40,FALSE)</f>
        <v>Satisfactory Economic Resilience with Satisfactory Affordability.</v>
      </c>
    </row>
    <row r="22" spans="1:7" x14ac:dyDescent="0.4">
      <c r="A22">
        <f t="shared" si="0"/>
        <v>8</v>
      </c>
      <c r="B22">
        <f t="shared" si="1"/>
        <v>11</v>
      </c>
      <c r="C22" t="s">
        <v>294</v>
      </c>
      <c r="D22" s="6">
        <f>VLOOKUP(_xlfn.CONCAT(UPPER(C22),"|",$B$1),MasterSheet_WithPredictive!A:AP,36,FALSE)</f>
        <v>0.47912737950000001</v>
      </c>
      <c r="E22" s="6">
        <f>VLOOKUP(_xlfn.CONCAT(UPPER(C22),"|",$B$1),MasterSheet_WithPredictive!A:AP,37,FALSE)</f>
        <v>21556.602439999999</v>
      </c>
      <c r="F22" t="str">
        <f>VLOOKUP(_xlfn.CONCAT(UPPER(C22),"|",$B$1),MasterSheet_WithPredictive!A:AP,39,FALSE)</f>
        <v>0.48B-</v>
      </c>
      <c r="G22" t="str">
        <f>VLOOKUP(_xlfn.CONCAT(UPPER(C22),"|",$B$1),MasterSheet_WithPredictive!A:AP,40,FALSE)</f>
        <v>Good Economic Resilience with Satisfactory Affordability.</v>
      </c>
    </row>
    <row r="23" spans="1:7" x14ac:dyDescent="0.4">
      <c r="A23">
        <f t="shared" si="0"/>
        <v>5</v>
      </c>
      <c r="B23">
        <f t="shared" si="1"/>
        <v>1</v>
      </c>
      <c r="C23" t="s">
        <v>295</v>
      </c>
      <c r="D23" s="6">
        <f>VLOOKUP(_xlfn.CONCAT(UPPER(C23),"|",$B$1),MasterSheet_WithPredictive!A:AP,36,FALSE)</f>
        <v>0.52302626240000005</v>
      </c>
      <c r="E23" s="6">
        <f>VLOOKUP(_xlfn.CONCAT(UPPER(C23),"|",$B$1),MasterSheet_WithPredictive!A:AP,37,FALSE)</f>
        <v>68163.186809999999</v>
      </c>
      <c r="F23" t="str">
        <f>VLOOKUP(_xlfn.CONCAT(UPPER(C23),"|",$B$1),MasterSheet_WithPredictive!A:AP,39,FALSE)</f>
        <v>0.52A+</v>
      </c>
      <c r="G23" t="str">
        <f>VLOOKUP(_xlfn.CONCAT(UPPER(C23),"|",$B$1),MasterSheet_WithPredictive!A:AP,40,FALSE)</f>
        <v>Excellent Economic Resilience with Superb Affordability.</v>
      </c>
    </row>
    <row r="24" spans="1:7" x14ac:dyDescent="0.4">
      <c r="A24">
        <f t="shared" si="0"/>
        <v>21</v>
      </c>
      <c r="B24">
        <f t="shared" si="1"/>
        <v>18</v>
      </c>
      <c r="C24" t="s">
        <v>296</v>
      </c>
      <c r="D24" s="6">
        <f>VLOOKUP(_xlfn.CONCAT(UPPER(C24),"|",$B$1),MasterSheet_WithPredictive!A:AP,36,FALSE)</f>
        <v>0.2048645697</v>
      </c>
      <c r="E24" s="6">
        <f>VLOOKUP(_xlfn.CONCAT(UPPER(C24),"|",$B$1),MasterSheet_WithPredictive!A:AP,37,FALSE)</f>
        <v>4261.5786019999996</v>
      </c>
      <c r="F24" t="str">
        <f>VLOOKUP(_xlfn.CONCAT(UPPER(C24),"|",$B$1),MasterSheet_WithPredictive!A:AP,39,FALSE)</f>
        <v>0.2D</v>
      </c>
      <c r="G24" t="str">
        <f>VLOOKUP(_xlfn.CONCAT(UPPER(C24),"|",$B$1),MasterSheet_WithPredictive!A:AP,40,FALSE)</f>
        <v>Weak Economic Resilience with Poor Affordability.</v>
      </c>
    </row>
    <row r="25" spans="1:7" x14ac:dyDescent="0.4">
      <c r="A25">
        <f t="shared" si="0"/>
        <v>15</v>
      </c>
      <c r="B25">
        <f t="shared" si="1"/>
        <v>7</v>
      </c>
      <c r="C25" t="s">
        <v>297</v>
      </c>
      <c r="D25" s="6">
        <f>VLOOKUP(_xlfn.CONCAT(UPPER(C25),"|",$B$1),MasterSheet_WithPredictive!A:AP,36,FALSE)</f>
        <v>0.38699112610000003</v>
      </c>
      <c r="E25" s="6">
        <f>VLOOKUP(_xlfn.CONCAT(UPPER(C25),"|",$B$1),MasterSheet_WithPredictive!A:AP,37,FALSE)</f>
        <v>32143.727790000001</v>
      </c>
      <c r="F25" t="str">
        <f>VLOOKUP(_xlfn.CONCAT(UPPER(C25),"|",$B$1),MasterSheet_WithPredictive!A:AP,39,FALSE)</f>
        <v>0.39B+</v>
      </c>
      <c r="G25" t="str">
        <f>VLOOKUP(_xlfn.CONCAT(UPPER(C25),"|",$B$1),MasterSheet_WithPredictive!A:AP,40,FALSE)</f>
        <v>Satisfactory Economic Resilience with Very Good Affordability.</v>
      </c>
    </row>
    <row r="26" spans="1:7" x14ac:dyDescent="0.4">
      <c r="A26">
        <f t="shared" si="0"/>
        <v>3</v>
      </c>
      <c r="B26">
        <f t="shared" si="1"/>
        <v>2</v>
      </c>
      <c r="C26" t="s">
        <v>298</v>
      </c>
      <c r="D26" s="6">
        <f>VLOOKUP(_xlfn.CONCAT(UPPER(C26),"|",$B$1),MasterSheet_WithPredictive!A:AP,36,FALSE)</f>
        <v>0.65331132970000005</v>
      </c>
      <c r="E26" s="6">
        <f>VLOOKUP(_xlfn.CONCAT(UPPER(C26),"|",$B$1),MasterSheet_WithPredictive!A:AP,37,FALSE)</f>
        <v>46536.322569999997</v>
      </c>
      <c r="F26" t="str">
        <f>VLOOKUP(_xlfn.CONCAT(UPPER(C26),"|",$B$1),MasterSheet_WithPredictive!A:AP,39,FALSE)</f>
        <v>0.65A</v>
      </c>
      <c r="G26" t="str">
        <f>VLOOKUP(_xlfn.CONCAT(UPPER(C26),"|",$B$1),MasterSheet_WithPredictive!A:AP,40,FALSE)</f>
        <v>Excellent Economic Resilience with Excellent Affordability.</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0856-8695-4FB1-BF9E-AD894DE734B2}">
  <dimension ref="A1:G26"/>
  <sheetViews>
    <sheetView topLeftCell="A2" zoomScale="128" workbookViewId="0">
      <selection activeCell="B2" sqref="B2"/>
    </sheetView>
  </sheetViews>
  <sheetFormatPr defaultRowHeight="14.6" x14ac:dyDescent="0.4"/>
  <cols>
    <col min="1" max="1" width="32.3046875" bestFit="1" customWidth="1"/>
    <col min="2" max="2" width="13.921875" bestFit="1" customWidth="1"/>
    <col min="3" max="3" width="15.53515625" bestFit="1" customWidth="1"/>
    <col min="4" max="4" width="10.53515625" bestFit="1" customWidth="1"/>
    <col min="5" max="5" width="20.921875" bestFit="1" customWidth="1"/>
    <col min="6" max="6" width="12.4609375" bestFit="1" customWidth="1"/>
    <col min="7" max="7" width="52.4609375" bestFit="1" customWidth="1"/>
  </cols>
  <sheetData>
    <row r="1" spans="1:7" x14ac:dyDescent="0.4">
      <c r="A1" s="1" t="s">
        <v>0</v>
      </c>
      <c r="B1">
        <f>Preprocessing1!B1+1</f>
        <v>2026</v>
      </c>
    </row>
    <row r="3" spans="1:7" x14ac:dyDescent="0.4">
      <c r="A3" s="1" t="str">
        <f>'G20+3 Countries'!B4</f>
        <v>2025 - HEART SCORE G-20+2 RANKING</v>
      </c>
      <c r="B3" s="1"/>
      <c r="C3" s="1" t="s">
        <v>272</v>
      </c>
      <c r="D3" s="1" t="s">
        <v>33</v>
      </c>
      <c r="E3" s="1" t="s">
        <v>34</v>
      </c>
      <c r="F3" s="1" t="s">
        <v>273</v>
      </c>
      <c r="G3" s="1" t="s">
        <v>274</v>
      </c>
    </row>
    <row r="4" spans="1:7" x14ac:dyDescent="0.4">
      <c r="A4" s="1" t="s">
        <v>275</v>
      </c>
      <c r="B4" s="1" t="s">
        <v>276</v>
      </c>
      <c r="C4" s="1"/>
      <c r="D4" s="1"/>
      <c r="E4" s="1"/>
      <c r="F4" s="1"/>
      <c r="G4" s="1"/>
    </row>
    <row r="5" spans="1:7" x14ac:dyDescent="0.4">
      <c r="A5">
        <f>_xlfn.RANK.EQ(D5,$D$5:$D$26,0)</f>
        <v>21</v>
      </c>
      <c r="B5">
        <f>_xlfn.RANK.EQ(E5,$E$5:$E$26,0)</f>
        <v>17</v>
      </c>
      <c r="C5" t="s">
        <v>277</v>
      </c>
      <c r="D5" s="6">
        <f>VLOOKUP(_xlfn.CONCAT(UPPER(C5),"|",$B$1),MasterSheet_WithPredictive!A:AP,36,FALSE)</f>
        <v>0.17949956859999999</v>
      </c>
      <c r="E5" s="6">
        <f>VLOOKUP(_xlfn.CONCAT(UPPER(C5),"|",$B$1),MasterSheet_WithPredictive!A:AP,37,FALSE)</f>
        <v>5054.555848</v>
      </c>
      <c r="F5" t="str">
        <f>VLOOKUP(_xlfn.CONCAT(UPPER(C5),"|",$B$1),MasterSheet_WithPredictive!A:AP,39,FALSE)</f>
        <v>0.18D+</v>
      </c>
      <c r="G5" t="str">
        <f>VLOOKUP(_xlfn.CONCAT(UPPER(C5),"|",$B$1),MasterSheet_WithPredictive!A:AP,40,FALSE)</f>
        <v>Weak Economic Resilience with Challenging Affordability.</v>
      </c>
    </row>
    <row r="6" spans="1:7" x14ac:dyDescent="0.4">
      <c r="A6">
        <f t="shared" ref="A6:A26" si="0">_xlfn.RANK.EQ(D6,$D$5:$D$26,0)</f>
        <v>17</v>
      </c>
      <c r="B6">
        <f t="shared" ref="B6:B26" si="1">_xlfn.RANK.EQ(E6,$E$5:$E$26,0)</f>
        <v>4</v>
      </c>
      <c r="C6" t="s">
        <v>278</v>
      </c>
      <c r="D6" s="6">
        <f>VLOOKUP(_xlfn.CONCAT(UPPER(C6),"|",$B$1),MasterSheet_WithPredictive!A:AP,36,FALSE)</f>
        <v>0.3664124393</v>
      </c>
      <c r="E6" s="6">
        <f>VLOOKUP(_xlfn.CONCAT(UPPER(C6),"|",$B$1),MasterSheet_WithPredictive!A:AP,37,FALSE)</f>
        <v>40830.692130000003</v>
      </c>
      <c r="F6" t="str">
        <f>VLOOKUP(_xlfn.CONCAT(UPPER(C6),"|",$B$1),MasterSheet_WithPredictive!A:AP,39,FALSE)</f>
        <v>0.37A</v>
      </c>
      <c r="G6" t="str">
        <f>VLOOKUP(_xlfn.CONCAT(UPPER(C6),"|",$B$1),MasterSheet_WithPredictive!A:AP,40,FALSE)</f>
        <v>Satisfactory Economic Resilience with Excellent Affordability.</v>
      </c>
    </row>
    <row r="7" spans="1:7" x14ac:dyDescent="0.4">
      <c r="A7">
        <f t="shared" si="0"/>
        <v>19</v>
      </c>
      <c r="B7">
        <f t="shared" si="1"/>
        <v>19</v>
      </c>
      <c r="C7" t="s">
        <v>279</v>
      </c>
      <c r="D7" s="6">
        <f>VLOOKUP(_xlfn.CONCAT(UPPER(C7),"|",$B$1),MasterSheet_WithPredictive!A:AP,36,FALSE)</f>
        <v>0.33273902150000001</v>
      </c>
      <c r="E7" s="6">
        <f>VLOOKUP(_xlfn.CONCAT(UPPER(C7),"|",$B$1),MasterSheet_WithPredictive!A:AP,37,FALSE)</f>
        <v>2735.0851149999999</v>
      </c>
      <c r="F7" t="str">
        <f>VLOOKUP(_xlfn.CONCAT(UPPER(C7),"|",$B$1),MasterSheet_WithPredictive!A:AP,39,FALSE)</f>
        <v>0.33D</v>
      </c>
      <c r="G7" t="str">
        <f>VLOOKUP(_xlfn.CONCAT(UPPER(C7),"|",$B$1),MasterSheet_WithPredictive!A:AP,40,FALSE)</f>
        <v>Satisfactory Economic Resilience with Poor Affordability.</v>
      </c>
    </row>
    <row r="8" spans="1:7" x14ac:dyDescent="0.4">
      <c r="A8">
        <f t="shared" si="0"/>
        <v>12</v>
      </c>
      <c r="B8">
        <f t="shared" si="1"/>
        <v>6</v>
      </c>
      <c r="C8" t="s">
        <v>280</v>
      </c>
      <c r="D8" s="6">
        <f>VLOOKUP(_xlfn.CONCAT(UPPER(C8),"|",$B$1),MasterSheet_WithPredictive!A:AP,36,FALSE)</f>
        <v>0.42782281999999999</v>
      </c>
      <c r="E8" s="6">
        <f>VLOOKUP(_xlfn.CONCAT(UPPER(C8),"|",$B$1),MasterSheet_WithPredictive!A:AP,37,FALSE)</f>
        <v>35715.441469999998</v>
      </c>
      <c r="F8" t="str">
        <f>VLOOKUP(_xlfn.CONCAT(UPPER(C8),"|",$B$1),MasterSheet_WithPredictive!A:AP,39,FALSE)</f>
        <v>0.43A-</v>
      </c>
      <c r="G8" t="str">
        <f>VLOOKUP(_xlfn.CONCAT(UPPER(C8),"|",$B$1),MasterSheet_WithPredictive!A:AP,40,FALSE)</f>
        <v>Good Economic Resilience with High Affordability.</v>
      </c>
    </row>
    <row r="9" spans="1:7" x14ac:dyDescent="0.4">
      <c r="A9">
        <f t="shared" si="0"/>
        <v>2</v>
      </c>
      <c r="B9">
        <f t="shared" si="1"/>
        <v>15</v>
      </c>
      <c r="C9" t="s">
        <v>281</v>
      </c>
      <c r="D9" s="6">
        <f>VLOOKUP(_xlfn.CONCAT(UPPER(C9),"|",$B$1),MasterSheet_WithPredictive!A:AP,36,FALSE)</f>
        <v>0.74825774990000005</v>
      </c>
      <c r="E9" s="6">
        <f>VLOOKUP(_xlfn.CONCAT(UPPER(C9),"|",$B$1),MasterSheet_WithPredictive!A:AP,37,FALSE)</f>
        <v>6598.2787790000002</v>
      </c>
      <c r="F9" t="str">
        <f>VLOOKUP(_xlfn.CONCAT(UPPER(C9),"|",$B$1),MasterSheet_WithPredictive!A:AP,39,FALSE)</f>
        <v>0.75D+</v>
      </c>
      <c r="G9" t="str">
        <f>VLOOKUP(_xlfn.CONCAT(UPPER(C9),"|",$B$1),MasterSheet_WithPredictive!A:AP,40,FALSE)</f>
        <v>Superb Economic Resilience with Challenging Affordability.</v>
      </c>
    </row>
    <row r="10" spans="1:7" x14ac:dyDescent="0.4">
      <c r="A10">
        <f t="shared" si="0"/>
        <v>10</v>
      </c>
      <c r="B10">
        <f t="shared" si="1"/>
        <v>8</v>
      </c>
      <c r="C10" t="s">
        <v>282</v>
      </c>
      <c r="D10" s="6">
        <f>VLOOKUP(_xlfn.CONCAT(UPPER(C10),"|",$B$1),MasterSheet_WithPredictive!A:AP,36,FALSE)</f>
        <v>0.45214521520000001</v>
      </c>
      <c r="E10" s="6">
        <f>VLOOKUP(_xlfn.CONCAT(UPPER(C10),"|",$B$1),MasterSheet_WithPredictive!A:AP,37,FALSE)</f>
        <v>28918.140510000001</v>
      </c>
      <c r="F10" t="str">
        <f>VLOOKUP(_xlfn.CONCAT(UPPER(C10),"|",$B$1),MasterSheet_WithPredictive!A:AP,39,FALSE)</f>
        <v>0.45B</v>
      </c>
      <c r="G10" t="str">
        <f>VLOOKUP(_xlfn.CONCAT(UPPER(C10),"|",$B$1),MasterSheet_WithPredictive!A:AP,40,FALSE)</f>
        <v>Good Economic Resilience with Good Affordability.</v>
      </c>
    </row>
    <row r="11" spans="1:7" x14ac:dyDescent="0.4">
      <c r="A11">
        <f t="shared" si="0"/>
        <v>7</v>
      </c>
      <c r="B11">
        <f t="shared" si="1"/>
        <v>5</v>
      </c>
      <c r="C11" t="s">
        <v>283</v>
      </c>
      <c r="D11" s="6">
        <f>VLOOKUP(_xlfn.CONCAT(UPPER(C11),"|",$B$1),MasterSheet_WithPredictive!A:AP,36,FALSE)</f>
        <v>0.53307357079999995</v>
      </c>
      <c r="E11" s="6">
        <f>VLOOKUP(_xlfn.CONCAT(UPPER(C11),"|",$B$1),MasterSheet_WithPredictive!A:AP,37,FALSE)</f>
        <v>37595.928310000003</v>
      </c>
      <c r="F11" t="str">
        <f>VLOOKUP(_xlfn.CONCAT(UPPER(C11),"|",$B$1),MasterSheet_WithPredictive!A:AP,39,FALSE)</f>
        <v>0.53A-</v>
      </c>
      <c r="G11" t="str">
        <f>VLOOKUP(_xlfn.CONCAT(UPPER(C11),"|",$B$1),MasterSheet_WithPredictive!A:AP,40,FALSE)</f>
        <v>Excellent Economic Resilience with High Affordability.</v>
      </c>
    </row>
    <row r="12" spans="1:7" x14ac:dyDescent="0.4">
      <c r="A12">
        <f t="shared" si="0"/>
        <v>22</v>
      </c>
      <c r="B12">
        <f t="shared" si="1"/>
        <v>21</v>
      </c>
      <c r="C12" t="s">
        <v>284</v>
      </c>
      <c r="D12" s="6">
        <f>VLOOKUP(_xlfn.CONCAT(UPPER(C12),"|",$B$1),MasterSheet_WithPredictive!A:AP,36,FALSE)</f>
        <v>0.17865043959999999</v>
      </c>
      <c r="E12" s="6">
        <f>VLOOKUP(_xlfn.CONCAT(UPPER(C12),"|",$B$1),MasterSheet_WithPredictive!A:AP,37,FALSE)</f>
        <v>1087.3556880000001</v>
      </c>
      <c r="F12" t="str">
        <f>VLOOKUP(_xlfn.CONCAT(UPPER(C12),"|",$B$1),MasterSheet_WithPredictive!A:AP,39,FALSE)</f>
        <v>0.18D-</v>
      </c>
      <c r="G12" t="str">
        <f>VLOOKUP(_xlfn.CONCAT(UPPER(C12),"|",$B$1),MasterSheet_WithPredictive!A:AP,40,FALSE)</f>
        <v>Weak Economic Resilience with Very Weak Affordability.</v>
      </c>
    </row>
    <row r="13" spans="1:7" x14ac:dyDescent="0.4">
      <c r="A13">
        <f t="shared" si="0"/>
        <v>9</v>
      </c>
      <c r="B13">
        <f t="shared" si="1"/>
        <v>20</v>
      </c>
      <c r="C13" t="s">
        <v>285</v>
      </c>
      <c r="D13" s="6">
        <f>VLOOKUP(_xlfn.CONCAT(UPPER(C13),"|",$B$1),MasterSheet_WithPredictive!A:AP,36,FALSE)</f>
        <v>0.45436873779999998</v>
      </c>
      <c r="E13" s="6">
        <f>VLOOKUP(_xlfn.CONCAT(UPPER(C13),"|",$B$1),MasterSheet_WithPredictive!A:AP,37,FALSE)</f>
        <v>1823.3283799999999</v>
      </c>
      <c r="F13" t="str">
        <f>VLOOKUP(_xlfn.CONCAT(UPPER(C13),"|",$B$1),MasterSheet_WithPredictive!A:AP,39,FALSE)</f>
        <v>0.45D-</v>
      </c>
      <c r="G13" t="str">
        <f>VLOOKUP(_xlfn.CONCAT(UPPER(C13),"|",$B$1),MasterSheet_WithPredictive!A:AP,40,FALSE)</f>
        <v>Good Economic Resilience with Very Weak Affordability.</v>
      </c>
    </row>
    <row r="14" spans="1:7" x14ac:dyDescent="0.4">
      <c r="A14">
        <f t="shared" si="0"/>
        <v>11</v>
      </c>
      <c r="B14">
        <f t="shared" si="1"/>
        <v>9</v>
      </c>
      <c r="C14" t="s">
        <v>286</v>
      </c>
      <c r="D14" s="6">
        <f>VLOOKUP(_xlfn.CONCAT(UPPER(C14),"|",$B$1),MasterSheet_WithPredictive!A:AP,36,FALSE)</f>
        <v>0.44480711000000001</v>
      </c>
      <c r="E14" s="6">
        <f>VLOOKUP(_xlfn.CONCAT(UPPER(C14),"|",$B$1),MasterSheet_WithPredictive!A:AP,37,FALSE)</f>
        <v>24320.301729999999</v>
      </c>
      <c r="F14" t="str">
        <f>VLOOKUP(_xlfn.CONCAT(UPPER(C14),"|",$B$1),MasterSheet_WithPredictive!A:AP,39,FALSE)</f>
        <v>0.44B-</v>
      </c>
      <c r="G14" t="str">
        <f>VLOOKUP(_xlfn.CONCAT(UPPER(C14),"|",$B$1),MasterSheet_WithPredictive!A:AP,40,FALSE)</f>
        <v>Good Economic Resilience with Satisfactory Affordability.</v>
      </c>
    </row>
    <row r="15" spans="1:7" x14ac:dyDescent="0.4">
      <c r="A15">
        <f t="shared" si="0"/>
        <v>13</v>
      </c>
      <c r="B15">
        <f t="shared" si="1"/>
        <v>12</v>
      </c>
      <c r="C15" t="s">
        <v>287</v>
      </c>
      <c r="D15" s="6">
        <f>VLOOKUP(_xlfn.CONCAT(UPPER(C15),"|",$B$1),MasterSheet_WithPredictive!A:AP,36,FALSE)</f>
        <v>0.41193132469999999</v>
      </c>
      <c r="E15" s="6">
        <f>VLOOKUP(_xlfn.CONCAT(UPPER(C15),"|",$B$1),MasterSheet_WithPredictive!A:AP,37,FALSE)</f>
        <v>20283.69555</v>
      </c>
      <c r="F15" t="str">
        <f>VLOOKUP(_xlfn.CONCAT(UPPER(C15),"|",$B$1),MasterSheet_WithPredictive!A:AP,39,FALSE)</f>
        <v>0.41B-</v>
      </c>
      <c r="G15" t="str">
        <f>VLOOKUP(_xlfn.CONCAT(UPPER(C15),"|",$B$1),MasterSheet_WithPredictive!A:AP,40,FALSE)</f>
        <v>Good Economic Resilience with Satisfactory Affordability.</v>
      </c>
    </row>
    <row r="16" spans="1:7" x14ac:dyDescent="0.4">
      <c r="A16">
        <f t="shared" si="0"/>
        <v>18</v>
      </c>
      <c r="B16">
        <f t="shared" si="1"/>
        <v>16</v>
      </c>
      <c r="C16" t="s">
        <v>288</v>
      </c>
      <c r="D16" s="6">
        <f>VLOOKUP(_xlfn.CONCAT(UPPER(C16),"|",$B$1),MasterSheet_WithPredictive!A:AP,36,FALSE)</f>
        <v>0.3359520365</v>
      </c>
      <c r="E16" s="6">
        <f>VLOOKUP(_xlfn.CONCAT(UPPER(C16),"|",$B$1),MasterSheet_WithPredictive!A:AP,37,FALSE)</f>
        <v>5273.2703330000004</v>
      </c>
      <c r="F16" t="str">
        <f>VLOOKUP(_xlfn.CONCAT(UPPER(C16),"|",$B$1),MasterSheet_WithPredictive!A:AP,39,FALSE)</f>
        <v>0.34D+</v>
      </c>
      <c r="G16" t="str">
        <f>VLOOKUP(_xlfn.CONCAT(UPPER(C16),"|",$B$1),MasterSheet_WithPredictive!A:AP,40,FALSE)</f>
        <v>Satisfactory Economic Resilience with Challenging Affordability.</v>
      </c>
    </row>
    <row r="17" spans="1:7" x14ac:dyDescent="0.4">
      <c r="A17">
        <f t="shared" si="0"/>
        <v>6</v>
      </c>
      <c r="B17">
        <f t="shared" si="1"/>
        <v>2</v>
      </c>
      <c r="C17" t="s">
        <v>289</v>
      </c>
      <c r="D17" s="6">
        <f>VLOOKUP(_xlfn.CONCAT(UPPER(C17),"|",$B$1),MasterSheet_WithPredictive!A:AP,36,FALSE)</f>
        <v>0.53393213080000002</v>
      </c>
      <c r="E17" s="6">
        <f>VLOOKUP(_xlfn.CONCAT(UPPER(C17),"|",$B$1),MasterSheet_WithPredictive!A:AP,37,FALSE)</f>
        <v>48406.393709999997</v>
      </c>
      <c r="F17" t="str">
        <f>VLOOKUP(_xlfn.CONCAT(UPPER(C17),"|",$B$1),MasterSheet_WithPredictive!A:AP,39,FALSE)</f>
        <v>0.53A</v>
      </c>
      <c r="G17" t="str">
        <f>VLOOKUP(_xlfn.CONCAT(UPPER(C17),"|",$B$1),MasterSheet_WithPredictive!A:AP,40,FALSE)</f>
        <v>Excellent Economic Resilience with Excellent Affordability.</v>
      </c>
    </row>
    <row r="18" spans="1:7" x14ac:dyDescent="0.4">
      <c r="A18">
        <f t="shared" si="0"/>
        <v>5</v>
      </c>
      <c r="B18">
        <f t="shared" si="1"/>
        <v>14</v>
      </c>
      <c r="C18" t="s">
        <v>290</v>
      </c>
      <c r="D18" s="6">
        <f>VLOOKUP(_xlfn.CONCAT(UPPER(C18),"|",$B$1),MasterSheet_WithPredictive!A:AP,36,FALSE)</f>
        <v>0.54582068549999996</v>
      </c>
      <c r="E18" s="6">
        <f>VLOOKUP(_xlfn.CONCAT(UPPER(C18),"|",$B$1),MasterSheet_WithPredictive!A:AP,37,FALSE)</f>
        <v>6708.9896650000001</v>
      </c>
      <c r="F18" t="str">
        <f>VLOOKUP(_xlfn.CONCAT(UPPER(C18),"|",$B$1),MasterSheet_WithPredictive!A:AP,39,FALSE)</f>
        <v>0.55D+</v>
      </c>
      <c r="G18" t="str">
        <f>VLOOKUP(_xlfn.CONCAT(UPPER(C18),"|",$B$1),MasterSheet_WithPredictive!A:AP,40,FALSE)</f>
        <v>Excellent Economic Resilience with Challenging Affordability.</v>
      </c>
    </row>
    <row r="19" spans="1:7" x14ac:dyDescent="0.4">
      <c r="A19">
        <f t="shared" si="0"/>
        <v>1</v>
      </c>
      <c r="B19">
        <f t="shared" si="1"/>
        <v>13</v>
      </c>
      <c r="C19" t="s">
        <v>291</v>
      </c>
      <c r="D19" s="6">
        <f>VLOOKUP(_xlfn.CONCAT(UPPER(C19),"|",$B$1),MasterSheet_WithPredictive!A:AP,36,FALSE)</f>
        <v>0.79196554109999995</v>
      </c>
      <c r="E19" s="6">
        <f>VLOOKUP(_xlfn.CONCAT(UPPER(C19),"|",$B$1),MasterSheet_WithPredictive!A:AP,37,FALSE)</f>
        <v>16016.551009999999</v>
      </c>
      <c r="F19" t="str">
        <f>VLOOKUP(_xlfn.CONCAT(UPPER(C19),"|",$B$1),MasterSheet_WithPredictive!A:AP,39,FALSE)</f>
        <v>0.79C+</v>
      </c>
      <c r="G19" t="str">
        <f>VLOOKUP(_xlfn.CONCAT(UPPER(C19),"|",$B$1),MasterSheet_WithPredictive!A:AP,40,FALSE)</f>
        <v>Superb Economic Resilience with Moderate Affordability.</v>
      </c>
    </row>
    <row r="20" spans="1:7" x14ac:dyDescent="0.4">
      <c r="A20">
        <f t="shared" si="0"/>
        <v>15</v>
      </c>
      <c r="B20">
        <f t="shared" si="1"/>
        <v>22</v>
      </c>
      <c r="C20" t="s">
        <v>292</v>
      </c>
      <c r="D20" s="6">
        <f>VLOOKUP(_xlfn.CONCAT(UPPER(C20),"|",$B$1),MasterSheet_WithPredictive!A:AP,36,FALSE)</f>
        <v>0.38184259970000001</v>
      </c>
      <c r="E20" s="6">
        <f>VLOOKUP(_xlfn.CONCAT(UPPER(C20),"|",$B$1),MasterSheet_WithPredictive!A:AP,37,FALSE)</f>
        <v>591.42077470000004</v>
      </c>
      <c r="F20" t="str">
        <f>VLOOKUP(_xlfn.CONCAT(UPPER(C20),"|",$B$1),MasterSheet_WithPredictive!A:AP,39,FALSE)</f>
        <v>0.38D-</v>
      </c>
      <c r="G20" t="str">
        <f>VLOOKUP(_xlfn.CONCAT(UPPER(C20),"|",$B$1),MasterSheet_WithPredictive!A:AP,40,FALSE)</f>
        <v>Satisfactory Economic Resilience with Very Weak Affordability.</v>
      </c>
    </row>
    <row r="21" spans="1:7" x14ac:dyDescent="0.4">
      <c r="A21">
        <f t="shared" si="0"/>
        <v>16</v>
      </c>
      <c r="B21">
        <f t="shared" si="1"/>
        <v>11</v>
      </c>
      <c r="C21" t="s">
        <v>293</v>
      </c>
      <c r="D21" s="6">
        <f>VLOOKUP(_xlfn.CONCAT(UPPER(C21),"|",$B$1),MasterSheet_WithPredictive!A:AP,36,FALSE)</f>
        <v>0.37677459889999998</v>
      </c>
      <c r="E21" s="6">
        <f>VLOOKUP(_xlfn.CONCAT(UPPER(C21),"|",$B$1),MasterSheet_WithPredictive!A:AP,37,FALSE)</f>
        <v>20635.122640000001</v>
      </c>
      <c r="F21" t="str">
        <f>VLOOKUP(_xlfn.CONCAT(UPPER(C21),"|",$B$1),MasterSheet_WithPredictive!A:AP,39,FALSE)</f>
        <v>0.38B-</v>
      </c>
      <c r="G21" t="str">
        <f>VLOOKUP(_xlfn.CONCAT(UPPER(C21),"|",$B$1),MasterSheet_WithPredictive!A:AP,40,FALSE)</f>
        <v>Satisfactory Economic Resilience with Satisfactory Affordability.</v>
      </c>
    </row>
    <row r="22" spans="1:7" x14ac:dyDescent="0.4">
      <c r="A22">
        <f t="shared" si="0"/>
        <v>8</v>
      </c>
      <c r="B22">
        <f t="shared" si="1"/>
        <v>10</v>
      </c>
      <c r="C22" t="s">
        <v>294</v>
      </c>
      <c r="D22" s="6">
        <f>VLOOKUP(_xlfn.CONCAT(UPPER(C22),"|",$B$1),MasterSheet_WithPredictive!A:AP,36,FALSE)</f>
        <v>0.4839145044</v>
      </c>
      <c r="E22" s="6">
        <f>VLOOKUP(_xlfn.CONCAT(UPPER(C22),"|",$B$1),MasterSheet_WithPredictive!A:AP,37,FALSE)</f>
        <v>22111.95794</v>
      </c>
      <c r="F22" t="str">
        <f>VLOOKUP(_xlfn.CONCAT(UPPER(C22),"|",$B$1),MasterSheet_WithPredictive!A:AP,39,FALSE)</f>
        <v>0.48B-</v>
      </c>
      <c r="G22" t="str">
        <f>VLOOKUP(_xlfn.CONCAT(UPPER(C22),"|",$B$1),MasterSheet_WithPredictive!A:AP,40,FALSE)</f>
        <v>Good Economic Resilience with Satisfactory Affordability.</v>
      </c>
    </row>
    <row r="23" spans="1:7" x14ac:dyDescent="0.4">
      <c r="A23">
        <f t="shared" si="0"/>
        <v>4</v>
      </c>
      <c r="B23">
        <f t="shared" si="1"/>
        <v>1</v>
      </c>
      <c r="C23" t="s">
        <v>295</v>
      </c>
      <c r="D23" s="6">
        <f>VLOOKUP(_xlfn.CONCAT(UPPER(C23),"|",$B$1),MasterSheet_WithPredictive!A:AP,36,FALSE)</f>
        <v>0.56792914530000005</v>
      </c>
      <c r="E23" s="6">
        <f>VLOOKUP(_xlfn.CONCAT(UPPER(C23),"|",$B$1),MasterSheet_WithPredictive!A:AP,37,FALSE)</f>
        <v>72061.770120000001</v>
      </c>
      <c r="F23" t="str">
        <f>VLOOKUP(_xlfn.CONCAT(UPPER(C23),"|",$B$1),MasterSheet_WithPredictive!A:AP,39,FALSE)</f>
        <v>0.57A+</v>
      </c>
      <c r="G23" t="str">
        <f>VLOOKUP(_xlfn.CONCAT(UPPER(C23),"|",$B$1),MasterSheet_WithPredictive!A:AP,40,FALSE)</f>
        <v>Excellent Economic Resilience with Superb Affordability.</v>
      </c>
    </row>
    <row r="24" spans="1:7" x14ac:dyDescent="0.4">
      <c r="A24">
        <f t="shared" si="0"/>
        <v>20</v>
      </c>
      <c r="B24">
        <f t="shared" si="1"/>
        <v>18</v>
      </c>
      <c r="C24" t="s">
        <v>296</v>
      </c>
      <c r="D24" s="6">
        <f>VLOOKUP(_xlfn.CONCAT(UPPER(C24),"|",$B$1),MasterSheet_WithPredictive!A:AP,36,FALSE)</f>
        <v>0.24282711260000001</v>
      </c>
      <c r="E24" s="6">
        <f>VLOOKUP(_xlfn.CONCAT(UPPER(C24),"|",$B$1),MasterSheet_WithPredictive!A:AP,37,FALSE)</f>
        <v>4476.9826210000001</v>
      </c>
      <c r="F24" t="str">
        <f>VLOOKUP(_xlfn.CONCAT(UPPER(C24),"|",$B$1),MasterSheet_WithPredictive!A:AP,39,FALSE)</f>
        <v>0.24D</v>
      </c>
      <c r="G24" t="str">
        <f>VLOOKUP(_xlfn.CONCAT(UPPER(C24),"|",$B$1),MasterSheet_WithPredictive!A:AP,40,FALSE)</f>
        <v>Weak Economic Resilience with Poor Affordability.</v>
      </c>
    </row>
    <row r="25" spans="1:7" x14ac:dyDescent="0.4">
      <c r="A25">
        <f t="shared" si="0"/>
        <v>14</v>
      </c>
      <c r="B25">
        <f t="shared" si="1"/>
        <v>7</v>
      </c>
      <c r="C25" t="s">
        <v>297</v>
      </c>
      <c r="D25" s="6">
        <f>VLOOKUP(_xlfn.CONCAT(UPPER(C25),"|",$B$1),MasterSheet_WithPredictive!A:AP,36,FALSE)</f>
        <v>0.38893095049999998</v>
      </c>
      <c r="E25" s="6">
        <f>VLOOKUP(_xlfn.CONCAT(UPPER(C25),"|",$B$1),MasterSheet_WithPredictive!A:AP,37,FALSE)</f>
        <v>33439.040630000003</v>
      </c>
      <c r="F25" t="str">
        <f>VLOOKUP(_xlfn.CONCAT(UPPER(C25),"|",$B$1),MasterSheet_WithPredictive!A:AP,39,FALSE)</f>
        <v>0.39B+</v>
      </c>
      <c r="G25" t="str">
        <f>VLOOKUP(_xlfn.CONCAT(UPPER(C25),"|",$B$1),MasterSheet_WithPredictive!A:AP,40,FALSE)</f>
        <v>Satisfactory Economic Resilience with Very Good Affordability.</v>
      </c>
    </row>
    <row r="26" spans="1:7" x14ac:dyDescent="0.4">
      <c r="A26">
        <f t="shared" si="0"/>
        <v>3</v>
      </c>
      <c r="B26">
        <f t="shared" si="1"/>
        <v>3</v>
      </c>
      <c r="C26" t="s">
        <v>298</v>
      </c>
      <c r="D26" s="6">
        <f>VLOOKUP(_xlfn.CONCAT(UPPER(C26),"|",$B$1),MasterSheet_WithPredictive!A:AP,36,FALSE)</f>
        <v>0.65244811049999996</v>
      </c>
      <c r="E26" s="6">
        <f>VLOOKUP(_xlfn.CONCAT(UPPER(C26),"|",$B$1),MasterSheet_WithPredictive!A:AP,37,FALSE)</f>
        <v>47800.055670000002</v>
      </c>
      <c r="F26" t="str">
        <f>VLOOKUP(_xlfn.CONCAT(UPPER(C26),"|",$B$1),MasterSheet_WithPredictive!A:AP,39,FALSE)</f>
        <v>0.65A</v>
      </c>
      <c r="G26" t="str">
        <f>VLOOKUP(_xlfn.CONCAT(UPPER(C26),"|",$B$1),MasterSheet_WithPredictive!A:AP,40,FALSE)</f>
        <v>Excellent Economic Resilience with Excellent Affordability.</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6A873-B10B-413B-80A0-9B367A655EF6}">
  <dimension ref="A1:M23"/>
  <sheetViews>
    <sheetView workbookViewId="0">
      <selection activeCell="B3" sqref="B3"/>
    </sheetView>
  </sheetViews>
  <sheetFormatPr defaultRowHeight="14.6" x14ac:dyDescent="0.4"/>
  <cols>
    <col min="1" max="1" width="15.53515625" bestFit="1" customWidth="1"/>
    <col min="2" max="5" width="9.3828125" bestFit="1" customWidth="1"/>
    <col min="6" max="7" width="10" bestFit="1" customWidth="1"/>
    <col min="8" max="13" width="9.3828125" bestFit="1" customWidth="1"/>
  </cols>
  <sheetData>
    <row r="1" spans="1:13" x14ac:dyDescent="0.4">
      <c r="A1" s="1" t="s">
        <v>305</v>
      </c>
      <c r="B1" s="1">
        <v>2019</v>
      </c>
      <c r="C1" s="1">
        <v>2020</v>
      </c>
      <c r="D1" s="1">
        <v>2021</v>
      </c>
      <c r="E1" s="1">
        <v>2022</v>
      </c>
      <c r="F1" s="1">
        <v>2023</v>
      </c>
      <c r="G1" s="1">
        <v>2024</v>
      </c>
      <c r="H1" s="1">
        <v>2025</v>
      </c>
      <c r="I1" s="1">
        <v>2026</v>
      </c>
      <c r="J1" s="1">
        <v>2027</v>
      </c>
      <c r="K1" s="1">
        <v>2028</v>
      </c>
      <c r="L1" s="1">
        <v>2029</v>
      </c>
      <c r="M1" s="1">
        <v>2030</v>
      </c>
    </row>
    <row r="2" spans="1:13" x14ac:dyDescent="0.4">
      <c r="A2" s="1" t="s">
        <v>277</v>
      </c>
      <c r="B2" s="29">
        <f>VLOOKUP(_xlfn.CONCAT($A2,"|",B$1),MasterSheet_WithPredictive!$A$1:$AP$265,36,FALSE)</f>
        <v>6.3511136460000003E-3</v>
      </c>
      <c r="C2" s="29">
        <f>VLOOKUP(_xlfn.CONCAT($A2,"|",C$1),MasterSheet_WithPredictive!$A$1:$AP$265,36,FALSE)</f>
        <v>0.133815621</v>
      </c>
      <c r="D2" s="29">
        <f>VLOOKUP(_xlfn.CONCAT($A2,"|",D$1),MasterSheet_WithPredictive!$A$1:$AP$265,36,FALSE)</f>
        <v>7.8594387710000005E-2</v>
      </c>
      <c r="E2" s="29">
        <f>VLOOKUP(_xlfn.CONCAT($A2,"|",E$1),MasterSheet_WithPredictive!$A$1:$AP$265,36,FALSE)</f>
        <v>5.3012192770000001E-2</v>
      </c>
      <c r="F2" s="29">
        <f>VLOOKUP(_xlfn.CONCAT($A2,"|",F$1),MasterSheet_WithPredictive!$A$1:$AP$265,36,FALSE)</f>
        <v>-0.74616742030000005</v>
      </c>
      <c r="G2" s="29">
        <f>VLOOKUP(_xlfn.CONCAT($A2,"|",G$1),MasterSheet_WithPredictive!$A$1:$AP$265,36,FALSE)</f>
        <v>-0.41314191639999998</v>
      </c>
      <c r="H2" s="29">
        <f>VLOOKUP(_xlfn.CONCAT($A2,"|",H$1),MasterSheet_WithPredictive!$A$1:$AP$265,36,FALSE)</f>
        <v>0.21731494069999999</v>
      </c>
      <c r="I2" s="29">
        <f>VLOOKUP(_xlfn.CONCAT($A2,"|",I$1),MasterSheet_WithPredictive!$A$1:$AP$265,36,FALSE)</f>
        <v>0.17949956859999999</v>
      </c>
      <c r="J2" s="29">
        <f>VLOOKUP(_xlfn.CONCAT($A2,"|",J$1),MasterSheet_WithPredictive!$A$1:$AP$265,36,FALSE)</f>
        <v>0.17174441609999999</v>
      </c>
      <c r="K2" s="29">
        <f>VLOOKUP(_xlfn.CONCAT($A2,"|",K$1),MasterSheet_WithPredictive!$A$1:$AP$265,36,FALSE)</f>
        <v>0.1708964268</v>
      </c>
      <c r="L2" s="29">
        <f>VLOOKUP(_xlfn.CONCAT($A2,"|",L$1),MasterSheet_WithPredictive!$A$1:$AP$265,36,FALSE)</f>
        <v>0.1740541508</v>
      </c>
      <c r="M2" s="29">
        <f>VLOOKUP(_xlfn.CONCAT($A2,"|",M$1),MasterSheet_WithPredictive!$A$1:$AP$265,36,FALSE)</f>
        <v>0.1782039446</v>
      </c>
    </row>
    <row r="3" spans="1:13" x14ac:dyDescent="0.4">
      <c r="A3" s="1" t="s">
        <v>278</v>
      </c>
      <c r="B3" s="29">
        <f>VLOOKUP(_xlfn.CONCAT($A3,"|",B$1),MasterSheet_WithPredictive!$A$1:$AP$265,36,FALSE)</f>
        <v>0.27107645940000002</v>
      </c>
      <c r="C3" s="29">
        <f>VLOOKUP(_xlfn.CONCAT($A3,"|",C$1),MasterSheet_WithPredictive!$A$1:$AP$265,36,FALSE)</f>
        <v>0.28690304500000002</v>
      </c>
      <c r="D3" s="29">
        <f>VLOOKUP(_xlfn.CONCAT($A3,"|",D$1),MasterSheet_WithPredictive!$A$1:$AP$265,36,FALSE)</f>
        <v>0.30094210960000001</v>
      </c>
      <c r="E3" s="29">
        <f>VLOOKUP(_xlfn.CONCAT($A3,"|",E$1),MasterSheet_WithPredictive!$A$1:$AP$265,36,FALSE)</f>
        <v>0.3321358042</v>
      </c>
      <c r="F3" s="29">
        <f>VLOOKUP(_xlfn.CONCAT($A3,"|",F$1),MasterSheet_WithPredictive!$A$1:$AP$265,36,FALSE)</f>
        <v>0.33867660579999997</v>
      </c>
      <c r="G3" s="29">
        <f>VLOOKUP(_xlfn.CONCAT($A3,"|",G$1),MasterSheet_WithPredictive!$A$1:$AP$265,36,FALSE)</f>
        <v>0.33159071490000003</v>
      </c>
      <c r="H3" s="29">
        <f>VLOOKUP(_xlfn.CONCAT($A3,"|",H$1),MasterSheet_WithPredictive!$A$1:$AP$265,36,FALSE)</f>
        <v>0.33887795059999998</v>
      </c>
      <c r="I3" s="29">
        <f>VLOOKUP(_xlfn.CONCAT($A3,"|",I$1),MasterSheet_WithPredictive!$A$1:$AP$265,36,FALSE)</f>
        <v>0.3664124393</v>
      </c>
      <c r="J3" s="29">
        <f>VLOOKUP(_xlfn.CONCAT($A3,"|",J$1),MasterSheet_WithPredictive!$A$1:$AP$265,36,FALSE)</f>
        <v>0.38168874660000002</v>
      </c>
      <c r="K3" s="29">
        <f>VLOOKUP(_xlfn.CONCAT($A3,"|",K$1),MasterSheet_WithPredictive!$A$1:$AP$265,36,FALSE)</f>
        <v>0.39823218539999999</v>
      </c>
      <c r="L3" s="29">
        <f>VLOOKUP(_xlfn.CONCAT($A3,"|",L$1),MasterSheet_WithPredictive!$A$1:$AP$265,36,FALSE)</f>
        <v>0.41252562170000001</v>
      </c>
      <c r="M3" s="29">
        <f>VLOOKUP(_xlfn.CONCAT($A3,"|",M$1),MasterSheet_WithPredictive!$A$1:$AP$265,36,FALSE)</f>
        <v>0.42816903309999998</v>
      </c>
    </row>
    <row r="4" spans="1:13" x14ac:dyDescent="0.4">
      <c r="A4" s="1" t="s">
        <v>279</v>
      </c>
      <c r="B4" s="29">
        <f>VLOOKUP(_xlfn.CONCAT($A4,"|",B$1),MasterSheet_WithPredictive!$A$1:$AP$265,36,FALSE)</f>
        <v>0.25390840460000003</v>
      </c>
      <c r="C4" s="29">
        <f>VLOOKUP(_xlfn.CONCAT($A4,"|",C$1),MasterSheet_WithPredictive!$A$1:$AP$265,36,FALSE)</f>
        <v>0.31865627219999998</v>
      </c>
      <c r="D4" s="29">
        <f>VLOOKUP(_xlfn.CONCAT($A4,"|",D$1),MasterSheet_WithPredictive!$A$1:$AP$265,36,FALSE)</f>
        <v>0.2758815805</v>
      </c>
      <c r="E4" s="29">
        <f>VLOOKUP(_xlfn.CONCAT($A4,"|",E$1),MasterSheet_WithPredictive!$A$1:$AP$265,36,FALSE)</f>
        <v>0.26386317250000002</v>
      </c>
      <c r="F4" s="29">
        <f>VLOOKUP(_xlfn.CONCAT($A4,"|",F$1),MasterSheet_WithPredictive!$A$1:$AP$265,36,FALSE)</f>
        <v>0.3130329073</v>
      </c>
      <c r="G4" s="29">
        <f>VLOOKUP(_xlfn.CONCAT($A4,"|",G$1),MasterSheet_WithPredictive!$A$1:$AP$265,36,FALSE)</f>
        <v>0.3086611326</v>
      </c>
      <c r="H4" s="29">
        <f>VLOOKUP(_xlfn.CONCAT($A4,"|",H$1),MasterSheet_WithPredictive!$A$1:$AP$265,36,FALSE)</f>
        <v>0.32956975719999998</v>
      </c>
      <c r="I4" s="29">
        <f>VLOOKUP(_xlfn.CONCAT($A4,"|",I$1),MasterSheet_WithPredictive!$A$1:$AP$265,36,FALSE)</f>
        <v>0.33273902150000001</v>
      </c>
      <c r="J4" s="29">
        <f>VLOOKUP(_xlfn.CONCAT($A4,"|",J$1),MasterSheet_WithPredictive!$A$1:$AP$265,36,FALSE)</f>
        <v>0.34734855190000002</v>
      </c>
      <c r="K4" s="29">
        <f>VLOOKUP(_xlfn.CONCAT($A4,"|",K$1),MasterSheet_WithPredictive!$A$1:$AP$265,36,FALSE)</f>
        <v>0.36235043859999999</v>
      </c>
      <c r="L4" s="29">
        <f>VLOOKUP(_xlfn.CONCAT($A4,"|",L$1),MasterSheet_WithPredictive!$A$1:$AP$265,36,FALSE)</f>
        <v>0.37836440189999998</v>
      </c>
      <c r="M4" s="29">
        <f>VLOOKUP(_xlfn.CONCAT($A4,"|",M$1),MasterSheet_WithPredictive!$A$1:$AP$265,36,FALSE)</f>
        <v>0.39551036290000002</v>
      </c>
    </row>
    <row r="5" spans="1:13" x14ac:dyDescent="0.4">
      <c r="A5" s="1" t="s">
        <v>280</v>
      </c>
      <c r="B5" s="29">
        <f>VLOOKUP(_xlfn.CONCAT($A5,"|",B$1),MasterSheet_WithPredictive!$A$1:$AP$265,36,FALSE)</f>
        <v>0.29433082719999998</v>
      </c>
      <c r="C5" s="29">
        <f>VLOOKUP(_xlfn.CONCAT($A5,"|",C$1),MasterSheet_WithPredictive!$A$1:$AP$265,36,FALSE)</f>
        <v>0.30973258450000002</v>
      </c>
      <c r="D5" s="29">
        <f>VLOOKUP(_xlfn.CONCAT($A5,"|",D$1),MasterSheet_WithPredictive!$A$1:$AP$265,36,FALSE)</f>
        <v>0.35103905759999998</v>
      </c>
      <c r="E5" s="29">
        <f>VLOOKUP(_xlfn.CONCAT($A5,"|",E$1),MasterSheet_WithPredictive!$A$1:$AP$265,36,FALSE)</f>
        <v>0.36935511119999997</v>
      </c>
      <c r="F5" s="29">
        <f>VLOOKUP(_xlfn.CONCAT($A5,"|",F$1),MasterSheet_WithPredictive!$A$1:$AP$265,36,FALSE)</f>
        <v>0.3593259318</v>
      </c>
      <c r="G5" s="29">
        <f>VLOOKUP(_xlfn.CONCAT($A5,"|",G$1),MasterSheet_WithPredictive!$A$1:$AP$265,36,FALSE)</f>
        <v>0.37055184369999999</v>
      </c>
      <c r="H5" s="29">
        <f>VLOOKUP(_xlfn.CONCAT($A5,"|",H$1),MasterSheet_WithPredictive!$A$1:$AP$265,36,FALSE)</f>
        <v>0.41057598169999998</v>
      </c>
      <c r="I5" s="29">
        <f>VLOOKUP(_xlfn.CONCAT($A5,"|",I$1),MasterSheet_WithPredictive!$A$1:$AP$265,36,FALSE)</f>
        <v>0.42782281999999999</v>
      </c>
      <c r="J5" s="29">
        <f>VLOOKUP(_xlfn.CONCAT($A5,"|",J$1),MasterSheet_WithPredictive!$A$1:$AP$265,36,FALSE)</f>
        <v>0.4476411998</v>
      </c>
      <c r="K5" s="29">
        <f>VLOOKUP(_xlfn.CONCAT($A5,"|",K$1),MasterSheet_WithPredictive!$A$1:$AP$265,36,FALSE)</f>
        <v>0.46919514759999997</v>
      </c>
      <c r="L5" s="29">
        <f>VLOOKUP(_xlfn.CONCAT($A5,"|",L$1),MasterSheet_WithPredictive!$A$1:$AP$265,36,FALSE)</f>
        <v>0.49168989130000001</v>
      </c>
      <c r="M5" s="29">
        <f>VLOOKUP(_xlfn.CONCAT($A5,"|",M$1),MasterSheet_WithPredictive!$A$1:$AP$265,36,FALSE)</f>
        <v>0.51349311980000001</v>
      </c>
    </row>
    <row r="6" spans="1:13" x14ac:dyDescent="0.4">
      <c r="A6" s="1" t="s">
        <v>281</v>
      </c>
      <c r="B6" s="29">
        <f>VLOOKUP(_xlfn.CONCAT($A6,"|",B$1),MasterSheet_WithPredictive!$A$1:$AP$265,36,FALSE)</f>
        <v>0.54210207359999996</v>
      </c>
      <c r="C6" s="29">
        <f>VLOOKUP(_xlfn.CONCAT($A6,"|",C$1),MasterSheet_WithPredictive!$A$1:$AP$265,36,FALSE)</f>
        <v>0.58719639010000002</v>
      </c>
      <c r="D6" s="29">
        <f>VLOOKUP(_xlfn.CONCAT($A6,"|",D$1),MasterSheet_WithPredictive!$A$1:$AP$265,36,FALSE)</f>
        <v>0.62172531679999998</v>
      </c>
      <c r="E6" s="29">
        <f>VLOOKUP(_xlfn.CONCAT($A6,"|",E$1),MasterSheet_WithPredictive!$A$1:$AP$265,36,FALSE)</f>
        <v>0.64146874239999996</v>
      </c>
      <c r="F6" s="29">
        <f>VLOOKUP(_xlfn.CONCAT($A6,"|",F$1),MasterSheet_WithPredictive!$A$1:$AP$265,36,FALSE)</f>
        <v>0.64460903999999997</v>
      </c>
      <c r="G6" s="29">
        <f>VLOOKUP(_xlfn.CONCAT($A6,"|",G$1),MasterSheet_WithPredictive!$A$1:$AP$265,36,FALSE)</f>
        <v>0.67368859039999995</v>
      </c>
      <c r="H6" s="29">
        <f>VLOOKUP(_xlfn.CONCAT($A6,"|",H$1),MasterSheet_WithPredictive!$A$1:$AP$265,36,FALSE)</f>
        <v>0.72928133340000001</v>
      </c>
      <c r="I6" s="29">
        <f>VLOOKUP(_xlfn.CONCAT($A6,"|",I$1),MasterSheet_WithPredictive!$A$1:$AP$265,36,FALSE)</f>
        <v>0.74825774990000005</v>
      </c>
      <c r="J6" s="29">
        <f>VLOOKUP(_xlfn.CONCAT($A6,"|",J$1),MasterSheet_WithPredictive!$A$1:$AP$265,36,FALSE)</f>
        <v>0.77920229559999998</v>
      </c>
      <c r="K6" s="29">
        <f>VLOOKUP(_xlfn.CONCAT($A6,"|",K$1),MasterSheet_WithPredictive!$A$1:$AP$265,36,FALSE)</f>
        <v>0.81155963909999995</v>
      </c>
      <c r="L6" s="29">
        <f>VLOOKUP(_xlfn.CONCAT($A6,"|",L$1),MasterSheet_WithPredictive!$A$1:$AP$265,36,FALSE)</f>
        <v>0.84537953850000003</v>
      </c>
      <c r="M6" s="29">
        <f>VLOOKUP(_xlfn.CONCAT($A6,"|",M$1),MasterSheet_WithPredictive!$A$1:$AP$265,36,FALSE)</f>
        <v>0.87902235949999996</v>
      </c>
    </row>
    <row r="7" spans="1:13" x14ac:dyDescent="0.4">
      <c r="A7" s="1" t="s">
        <v>282</v>
      </c>
      <c r="B7" s="29">
        <f>VLOOKUP(_xlfn.CONCAT($A7,"|",B$1),MasterSheet_WithPredictive!$A$1:$AP$265,36,FALSE)</f>
        <v>0.37371674789999998</v>
      </c>
      <c r="C7" s="29">
        <f>VLOOKUP(_xlfn.CONCAT($A7,"|",C$1),MasterSheet_WithPredictive!$A$1:$AP$265,36,FALSE)</f>
        <v>0.3815454325</v>
      </c>
      <c r="D7" s="29">
        <f>VLOOKUP(_xlfn.CONCAT($A7,"|",D$1),MasterSheet_WithPredictive!$A$1:$AP$265,36,FALSE)</f>
        <v>0.40562200949999999</v>
      </c>
      <c r="E7" s="29">
        <f>VLOOKUP(_xlfn.CONCAT($A7,"|",E$1),MasterSheet_WithPredictive!$A$1:$AP$265,36,FALSE)</f>
        <v>0.37961266690000001</v>
      </c>
      <c r="F7" s="29">
        <f>VLOOKUP(_xlfn.CONCAT($A7,"|",F$1),MasterSheet_WithPredictive!$A$1:$AP$265,36,FALSE)</f>
        <v>0.39075805530000002</v>
      </c>
      <c r="G7" s="29">
        <f>VLOOKUP(_xlfn.CONCAT($A7,"|",G$1),MasterSheet_WithPredictive!$A$1:$AP$265,36,FALSE)</f>
        <v>0.44043599649999998</v>
      </c>
      <c r="H7" s="29">
        <f>VLOOKUP(_xlfn.CONCAT($A7,"|",H$1),MasterSheet_WithPredictive!$A$1:$AP$265,36,FALSE)</f>
        <v>0.44373071130000002</v>
      </c>
      <c r="I7" s="29">
        <f>VLOOKUP(_xlfn.CONCAT($A7,"|",I$1),MasterSheet_WithPredictive!$A$1:$AP$265,36,FALSE)</f>
        <v>0.45214521520000001</v>
      </c>
      <c r="J7" s="29">
        <f>VLOOKUP(_xlfn.CONCAT($A7,"|",J$1),MasterSheet_WithPredictive!$A$1:$AP$265,36,FALSE)</f>
        <v>0.46666369790000001</v>
      </c>
      <c r="K7" s="29">
        <f>VLOOKUP(_xlfn.CONCAT($A7,"|",K$1),MasterSheet_WithPredictive!$A$1:$AP$265,36,FALSE)</f>
        <v>0.48247284950000002</v>
      </c>
      <c r="L7" s="29">
        <f>VLOOKUP(_xlfn.CONCAT($A7,"|",L$1),MasterSheet_WithPredictive!$A$1:$AP$265,36,FALSE)</f>
        <v>0.50018943599999999</v>
      </c>
      <c r="M7" s="29">
        <f>VLOOKUP(_xlfn.CONCAT($A7,"|",M$1),MasterSheet_WithPredictive!$A$1:$AP$265,36,FALSE)</f>
        <v>0.51787076809999999</v>
      </c>
    </row>
    <row r="8" spans="1:13" x14ac:dyDescent="0.4">
      <c r="A8" s="1" t="s">
        <v>283</v>
      </c>
      <c r="B8" s="29">
        <f>VLOOKUP(_xlfn.CONCAT($A8,"|",B$1),MasterSheet_WithPredictive!$A$1:$AP$265,36,FALSE)</f>
        <v>0.4358591684</v>
      </c>
      <c r="C8" s="29">
        <f>VLOOKUP(_xlfn.CONCAT($A8,"|",C$1),MasterSheet_WithPredictive!$A$1:$AP$265,36,FALSE)</f>
        <v>0.44986833259999998</v>
      </c>
      <c r="D8" s="29">
        <f>VLOOKUP(_xlfn.CONCAT($A8,"|",D$1),MasterSheet_WithPredictive!$A$1:$AP$265,36,FALSE)</f>
        <v>0.46432267729999999</v>
      </c>
      <c r="E8" s="29">
        <f>VLOOKUP(_xlfn.CONCAT($A8,"|",E$1),MasterSheet_WithPredictive!$A$1:$AP$265,36,FALSE)</f>
        <v>0.44467871530000003</v>
      </c>
      <c r="F8" s="29">
        <f>VLOOKUP(_xlfn.CONCAT($A8,"|",F$1),MasterSheet_WithPredictive!$A$1:$AP$265,36,FALSE)</f>
        <v>0.47104081339999998</v>
      </c>
      <c r="G8" s="29">
        <f>VLOOKUP(_xlfn.CONCAT($A8,"|",G$1),MasterSheet_WithPredictive!$A$1:$AP$265,36,FALSE)</f>
        <v>0.49653084590000002</v>
      </c>
      <c r="H8" s="29">
        <f>VLOOKUP(_xlfn.CONCAT($A8,"|",H$1),MasterSheet_WithPredictive!$A$1:$AP$265,36,FALSE)</f>
        <v>0.54069390090000002</v>
      </c>
      <c r="I8" s="29">
        <f>VLOOKUP(_xlfn.CONCAT($A8,"|",I$1),MasterSheet_WithPredictive!$A$1:$AP$265,36,FALSE)</f>
        <v>0.53307357079999995</v>
      </c>
      <c r="J8" s="29">
        <f>VLOOKUP(_xlfn.CONCAT($A8,"|",J$1),MasterSheet_WithPredictive!$A$1:$AP$265,36,FALSE)</f>
        <v>0.55040265779999997</v>
      </c>
      <c r="K8" s="29">
        <f>VLOOKUP(_xlfn.CONCAT($A8,"|",K$1),MasterSheet_WithPredictive!$A$1:$AP$265,36,FALSE)</f>
        <v>0.56831521070000002</v>
      </c>
      <c r="L8" s="29">
        <f>VLOOKUP(_xlfn.CONCAT($A8,"|",L$1),MasterSheet_WithPredictive!$A$1:$AP$265,36,FALSE)</f>
        <v>0.58695238630000002</v>
      </c>
      <c r="M8" s="29">
        <f>VLOOKUP(_xlfn.CONCAT($A8,"|",M$1),MasterSheet_WithPredictive!$A$1:$AP$265,36,FALSE)</f>
        <v>0.60651516080000001</v>
      </c>
    </row>
    <row r="9" spans="1:13" x14ac:dyDescent="0.4">
      <c r="A9" s="1" t="s">
        <v>284</v>
      </c>
      <c r="B9" s="29">
        <f>VLOOKUP(_xlfn.CONCAT($A9,"|",B$1),MasterSheet_WithPredictive!$A$1:$AP$265,36,FALSE)</f>
        <v>0.10016257839999999</v>
      </c>
      <c r="C9" s="29">
        <f>VLOOKUP(_xlfn.CONCAT($A9,"|",C$1),MasterSheet_WithPredictive!$A$1:$AP$265,36,FALSE)</f>
        <v>0.12978588660000001</v>
      </c>
      <c r="D9" s="29">
        <f>VLOOKUP(_xlfn.CONCAT($A9,"|",D$1),MasterSheet_WithPredictive!$A$1:$AP$265,36,FALSE)</f>
        <v>0.14499150420000001</v>
      </c>
      <c r="E9" s="29">
        <f>VLOOKUP(_xlfn.CONCAT($A9,"|",E$1),MasterSheet_WithPredictive!$A$1:$AP$265,36,FALSE)</f>
        <v>0.1590044716</v>
      </c>
      <c r="F9" s="29">
        <f>VLOOKUP(_xlfn.CONCAT($A9,"|",F$1),MasterSheet_WithPredictive!$A$1:$AP$265,36,FALSE)</f>
        <v>0.13999833210000001</v>
      </c>
      <c r="G9" s="29">
        <f>VLOOKUP(_xlfn.CONCAT($A9,"|",G$1),MasterSheet_WithPredictive!$A$1:$AP$265,36,FALSE)</f>
        <v>0.14966290039999999</v>
      </c>
      <c r="H9" s="29">
        <f>VLOOKUP(_xlfn.CONCAT($A9,"|",H$1),MasterSheet_WithPredictive!$A$1:$AP$265,36,FALSE)</f>
        <v>0.170648573</v>
      </c>
      <c r="I9" s="29">
        <f>VLOOKUP(_xlfn.CONCAT($A9,"|",I$1),MasterSheet_WithPredictive!$A$1:$AP$265,36,FALSE)</f>
        <v>0.17865043959999999</v>
      </c>
      <c r="J9" s="29">
        <f>VLOOKUP(_xlfn.CONCAT($A9,"|",J$1),MasterSheet_WithPredictive!$A$1:$AP$265,36,FALSE)</f>
        <v>0.1882421672</v>
      </c>
      <c r="K9" s="29">
        <f>VLOOKUP(_xlfn.CONCAT($A9,"|",K$1),MasterSheet_WithPredictive!$A$1:$AP$265,36,FALSE)</f>
        <v>0.1984455453</v>
      </c>
      <c r="L9" s="29">
        <f>VLOOKUP(_xlfn.CONCAT($A9,"|",L$1),MasterSheet_WithPredictive!$A$1:$AP$265,36,FALSE)</f>
        <v>0.20918538649999999</v>
      </c>
      <c r="M9" s="29">
        <f>VLOOKUP(_xlfn.CONCAT($A9,"|",M$1),MasterSheet_WithPredictive!$A$1:$AP$265,36,FALSE)</f>
        <v>0.2205901811</v>
      </c>
    </row>
    <row r="10" spans="1:13" x14ac:dyDescent="0.4">
      <c r="A10" s="1" t="s">
        <v>285</v>
      </c>
      <c r="B10" s="29">
        <f>VLOOKUP(_xlfn.CONCAT($A10,"|",B$1),MasterSheet_WithPredictive!$A$1:$AP$265,36,FALSE)</f>
        <v>0.2965001994</v>
      </c>
      <c r="C10" s="29">
        <f>VLOOKUP(_xlfn.CONCAT($A10,"|",C$1),MasterSheet_WithPredictive!$A$1:$AP$265,36,FALSE)</f>
        <v>0.33419544070000001</v>
      </c>
      <c r="D10" s="29">
        <f>VLOOKUP(_xlfn.CONCAT($A10,"|",D$1),MasterSheet_WithPredictive!$A$1:$AP$265,36,FALSE)</f>
        <v>0.3638481912</v>
      </c>
      <c r="E10" s="29">
        <f>VLOOKUP(_xlfn.CONCAT($A10,"|",E$1),MasterSheet_WithPredictive!$A$1:$AP$265,36,FALSE)</f>
        <v>0.39201489070000001</v>
      </c>
      <c r="F10" s="29">
        <f>VLOOKUP(_xlfn.CONCAT($A10,"|",F$1),MasterSheet_WithPredictive!$A$1:$AP$265,36,FALSE)</f>
        <v>0.38836313509999998</v>
      </c>
      <c r="G10" s="29">
        <f>VLOOKUP(_xlfn.CONCAT($A10,"|",G$1),MasterSheet_WithPredictive!$A$1:$AP$265,36,FALSE)</f>
        <v>0.40222596399999999</v>
      </c>
      <c r="H10" s="29">
        <f>VLOOKUP(_xlfn.CONCAT($A10,"|",H$1),MasterSheet_WithPredictive!$A$1:$AP$265,36,FALSE)</f>
        <v>0.42820197389999998</v>
      </c>
      <c r="I10" s="29">
        <f>VLOOKUP(_xlfn.CONCAT($A10,"|",I$1),MasterSheet_WithPredictive!$A$1:$AP$265,36,FALSE)</f>
        <v>0.45436873779999998</v>
      </c>
      <c r="J10" s="29">
        <f>VLOOKUP(_xlfn.CONCAT($A10,"|",J$1),MasterSheet_WithPredictive!$A$1:$AP$265,36,FALSE)</f>
        <v>0.47615596650000003</v>
      </c>
      <c r="K10" s="29">
        <f>VLOOKUP(_xlfn.CONCAT($A10,"|",K$1),MasterSheet_WithPredictive!$A$1:$AP$265,36,FALSE)</f>
        <v>0.49899736620000001</v>
      </c>
      <c r="L10" s="29">
        <f>VLOOKUP(_xlfn.CONCAT($A10,"|",L$1),MasterSheet_WithPredictive!$A$1:$AP$265,36,FALSE)</f>
        <v>0.52287494450000005</v>
      </c>
      <c r="M10" s="29">
        <f>VLOOKUP(_xlfn.CONCAT($A10,"|",M$1),MasterSheet_WithPredictive!$A$1:$AP$265,36,FALSE)</f>
        <v>0.54789148330000004</v>
      </c>
    </row>
    <row r="11" spans="1:13" x14ac:dyDescent="0.4">
      <c r="A11" s="1" t="s">
        <v>286</v>
      </c>
      <c r="B11" s="29">
        <f>VLOOKUP(_xlfn.CONCAT($A11,"|",B$1),MasterSheet_WithPredictive!$A$1:$AP$265,36,FALSE)</f>
        <v>0.3203764986</v>
      </c>
      <c r="C11" s="29">
        <f>VLOOKUP(_xlfn.CONCAT($A11,"|",C$1),MasterSheet_WithPredictive!$A$1:$AP$265,36,FALSE)</f>
        <v>0.34717894789999998</v>
      </c>
      <c r="D11" s="29">
        <f>VLOOKUP(_xlfn.CONCAT($A11,"|",D$1),MasterSheet_WithPredictive!$A$1:$AP$265,36,FALSE)</f>
        <v>0.34923980850000003</v>
      </c>
      <c r="E11" s="29">
        <f>VLOOKUP(_xlfn.CONCAT($A11,"|",E$1),MasterSheet_WithPredictive!$A$1:$AP$265,36,FALSE)</f>
        <v>0.35204328940000001</v>
      </c>
      <c r="F11" s="29">
        <f>VLOOKUP(_xlfn.CONCAT($A11,"|",F$1),MasterSheet_WithPredictive!$A$1:$AP$265,36,FALSE)</f>
        <v>0.40486222290000001</v>
      </c>
      <c r="G11" s="29">
        <f>VLOOKUP(_xlfn.CONCAT($A11,"|",G$1),MasterSheet_WithPredictive!$A$1:$AP$265,36,FALSE)</f>
        <v>0.36879724549999998</v>
      </c>
      <c r="H11" s="29">
        <f>VLOOKUP(_xlfn.CONCAT($A11,"|",H$1),MasterSheet_WithPredictive!$A$1:$AP$265,36,FALSE)</f>
        <v>0.44806751719999999</v>
      </c>
      <c r="I11" s="29">
        <f>VLOOKUP(_xlfn.CONCAT($A11,"|",I$1),MasterSheet_WithPredictive!$A$1:$AP$265,36,FALSE)</f>
        <v>0.44480711000000001</v>
      </c>
      <c r="J11" s="29">
        <f>VLOOKUP(_xlfn.CONCAT($A11,"|",J$1),MasterSheet_WithPredictive!$A$1:$AP$265,36,FALSE)</f>
        <v>0.46490009440000002</v>
      </c>
      <c r="K11" s="29">
        <f>VLOOKUP(_xlfn.CONCAT($A11,"|",K$1),MasterSheet_WithPredictive!$A$1:$AP$265,36,FALSE)</f>
        <v>0.485937919</v>
      </c>
      <c r="L11" s="29">
        <f>VLOOKUP(_xlfn.CONCAT($A11,"|",L$1),MasterSheet_WithPredictive!$A$1:$AP$265,36,FALSE)</f>
        <v>0.51246362320000005</v>
      </c>
      <c r="M11" s="29">
        <f>VLOOKUP(_xlfn.CONCAT($A11,"|",M$1),MasterSheet_WithPredictive!$A$1:$AP$265,36,FALSE)</f>
        <v>0.54203965710000002</v>
      </c>
    </row>
    <row r="12" spans="1:13" x14ac:dyDescent="0.4">
      <c r="A12" s="1" t="s">
        <v>287</v>
      </c>
      <c r="B12" s="29">
        <f>VLOOKUP(_xlfn.CONCAT($A12,"|",B$1),MasterSheet_WithPredictive!$A$1:$AP$265,36,FALSE)</f>
        <v>0.34120833540000001</v>
      </c>
      <c r="C12" s="29">
        <f>VLOOKUP(_xlfn.CONCAT($A12,"|",C$1),MasterSheet_WithPredictive!$A$1:$AP$265,36,FALSE)</f>
        <v>0.3576309734</v>
      </c>
      <c r="D12" s="29">
        <f>VLOOKUP(_xlfn.CONCAT($A12,"|",D$1),MasterSheet_WithPredictive!$A$1:$AP$265,36,FALSE)</f>
        <v>0.36376386469999999</v>
      </c>
      <c r="E12" s="29">
        <f>VLOOKUP(_xlfn.CONCAT($A12,"|",E$1),MasterSheet_WithPredictive!$A$1:$AP$265,36,FALSE)</f>
        <v>0.33781239839999999</v>
      </c>
      <c r="F12" s="29">
        <f>VLOOKUP(_xlfn.CONCAT($A12,"|",F$1),MasterSheet_WithPredictive!$A$1:$AP$265,36,FALSE)</f>
        <v>0.37530415859999999</v>
      </c>
      <c r="G12" s="29">
        <f>VLOOKUP(_xlfn.CONCAT($A12,"|",G$1),MasterSheet_WithPredictive!$A$1:$AP$265,36,FALSE)</f>
        <v>0.39179624499999999</v>
      </c>
      <c r="H12" s="29">
        <f>VLOOKUP(_xlfn.CONCAT($A12,"|",H$1),MasterSheet_WithPredictive!$A$1:$AP$265,36,FALSE)</f>
        <v>0.40932409600000003</v>
      </c>
      <c r="I12" s="29">
        <f>VLOOKUP(_xlfn.CONCAT($A12,"|",I$1),MasterSheet_WithPredictive!$A$1:$AP$265,36,FALSE)</f>
        <v>0.41193132469999999</v>
      </c>
      <c r="J12" s="29">
        <f>VLOOKUP(_xlfn.CONCAT($A12,"|",J$1),MasterSheet_WithPredictive!$A$1:$AP$265,36,FALSE)</f>
        <v>0.42509718410000003</v>
      </c>
      <c r="K12" s="29">
        <f>VLOOKUP(_xlfn.CONCAT($A12,"|",K$1),MasterSheet_WithPredictive!$A$1:$AP$265,36,FALSE)</f>
        <v>0.44213294730000002</v>
      </c>
      <c r="L12" s="29">
        <f>VLOOKUP(_xlfn.CONCAT($A12,"|",L$1),MasterSheet_WithPredictive!$A$1:$AP$265,36,FALSE)</f>
        <v>0.4620399952</v>
      </c>
      <c r="M12" s="29">
        <f>VLOOKUP(_xlfn.CONCAT($A12,"|",M$1),MasterSheet_WithPredictive!$A$1:$AP$265,36,FALSE)</f>
        <v>0.4844895293</v>
      </c>
    </row>
    <row r="13" spans="1:13" x14ac:dyDescent="0.4">
      <c r="A13" s="1" t="s">
        <v>288</v>
      </c>
      <c r="B13" s="29">
        <f>VLOOKUP(_xlfn.CONCAT($A13,"|",B$1),MasterSheet_WithPredictive!$A$1:$AP$265,36,FALSE)</f>
        <v>0.26139882590000002</v>
      </c>
      <c r="C13" s="29">
        <f>VLOOKUP(_xlfn.CONCAT($A13,"|",C$1),MasterSheet_WithPredictive!$A$1:$AP$265,36,FALSE)</f>
        <v>0.30272814689999999</v>
      </c>
      <c r="D13" s="29">
        <f>VLOOKUP(_xlfn.CONCAT($A13,"|",D$1),MasterSheet_WithPredictive!$A$1:$AP$265,36,FALSE)</f>
        <v>0.28831770880000002</v>
      </c>
      <c r="E13" s="29">
        <f>VLOOKUP(_xlfn.CONCAT($A13,"|",E$1),MasterSheet_WithPredictive!$A$1:$AP$265,36,FALSE)</f>
        <v>0.29009735170000001</v>
      </c>
      <c r="F13" s="29">
        <f>VLOOKUP(_xlfn.CONCAT($A13,"|",F$1),MasterSheet_WithPredictive!$A$1:$AP$265,36,FALSE)</f>
        <v>0.30019344840000001</v>
      </c>
      <c r="G13" s="29">
        <f>VLOOKUP(_xlfn.CONCAT($A13,"|",G$1),MasterSheet_WithPredictive!$A$1:$AP$265,36,FALSE)</f>
        <v>0.32098759189999998</v>
      </c>
      <c r="H13" s="29">
        <f>VLOOKUP(_xlfn.CONCAT($A13,"|",H$1),MasterSheet_WithPredictive!$A$1:$AP$265,36,FALSE)</f>
        <v>0.32240578790000002</v>
      </c>
      <c r="I13" s="29">
        <f>VLOOKUP(_xlfn.CONCAT($A13,"|",I$1),MasterSheet_WithPredictive!$A$1:$AP$265,36,FALSE)</f>
        <v>0.3359520365</v>
      </c>
      <c r="J13" s="29">
        <f>VLOOKUP(_xlfn.CONCAT($A13,"|",J$1),MasterSheet_WithPredictive!$A$1:$AP$265,36,FALSE)</f>
        <v>0.3483864337</v>
      </c>
      <c r="K13" s="29">
        <f>VLOOKUP(_xlfn.CONCAT($A13,"|",K$1),MasterSheet_WithPredictive!$A$1:$AP$265,36,FALSE)</f>
        <v>0.36133928160000001</v>
      </c>
      <c r="L13" s="29">
        <f>VLOOKUP(_xlfn.CONCAT($A13,"|",L$1),MasterSheet_WithPredictive!$A$1:$AP$265,36,FALSE)</f>
        <v>0.37505285420000001</v>
      </c>
      <c r="M13" s="29">
        <f>VLOOKUP(_xlfn.CONCAT($A13,"|",M$1),MasterSheet_WithPredictive!$A$1:$AP$265,36,FALSE)</f>
        <v>0.38983137179999999</v>
      </c>
    </row>
    <row r="14" spans="1:13" x14ac:dyDescent="0.4">
      <c r="A14" s="1" t="s">
        <v>289</v>
      </c>
      <c r="B14" s="29">
        <f>VLOOKUP(_xlfn.CONCAT($A14,"|",B$1),MasterSheet_WithPredictive!$A$1:$AP$265,36,FALSE)</f>
        <v>0.43000885950000001</v>
      </c>
      <c r="C14" s="29">
        <f>VLOOKUP(_xlfn.CONCAT($A14,"|",C$1),MasterSheet_WithPredictive!$A$1:$AP$265,36,FALSE)</f>
        <v>0.4500965616</v>
      </c>
      <c r="D14" s="29">
        <f>VLOOKUP(_xlfn.CONCAT($A14,"|",D$1),MasterSheet_WithPredictive!$A$1:$AP$265,36,FALSE)</f>
        <v>0.4627299225</v>
      </c>
      <c r="E14" s="29">
        <f>VLOOKUP(_xlfn.CONCAT($A14,"|",E$1),MasterSheet_WithPredictive!$A$1:$AP$265,36,FALSE)</f>
        <v>0.4710604893</v>
      </c>
      <c r="F14" s="29">
        <f>VLOOKUP(_xlfn.CONCAT($A14,"|",F$1),MasterSheet_WithPredictive!$A$1:$AP$265,36,FALSE)</f>
        <v>0.48660619430000002</v>
      </c>
      <c r="G14" s="29">
        <f>VLOOKUP(_xlfn.CONCAT($A14,"|",G$1),MasterSheet_WithPredictive!$A$1:$AP$265,36,FALSE)</f>
        <v>0.51467521490000001</v>
      </c>
      <c r="H14" s="29">
        <f>VLOOKUP(_xlfn.CONCAT($A14,"|",H$1),MasterSheet_WithPredictive!$A$1:$AP$265,36,FALSE)</f>
        <v>0.50410353900000004</v>
      </c>
      <c r="I14" s="29">
        <f>VLOOKUP(_xlfn.CONCAT($A14,"|",I$1),MasterSheet_WithPredictive!$A$1:$AP$265,36,FALSE)</f>
        <v>0.53393213080000002</v>
      </c>
      <c r="J14" s="29">
        <f>VLOOKUP(_xlfn.CONCAT($A14,"|",J$1),MasterSheet_WithPredictive!$A$1:$AP$265,36,FALSE)</f>
        <v>0.55226891190000005</v>
      </c>
      <c r="K14" s="29">
        <f>VLOOKUP(_xlfn.CONCAT($A14,"|",K$1),MasterSheet_WithPredictive!$A$1:$AP$265,36,FALSE)</f>
        <v>0.57204366179999999</v>
      </c>
      <c r="L14" s="29">
        <f>VLOOKUP(_xlfn.CONCAT($A14,"|",L$1),MasterSheet_WithPredictive!$A$1:$AP$265,36,FALSE)</f>
        <v>0.59284118220000004</v>
      </c>
      <c r="M14" s="29">
        <f>VLOOKUP(_xlfn.CONCAT($A14,"|",M$1),MasterSheet_WithPredictive!$A$1:$AP$265,36,FALSE)</f>
        <v>0.61507800800000001</v>
      </c>
    </row>
    <row r="15" spans="1:13" x14ac:dyDescent="0.4">
      <c r="A15" s="1" t="s">
        <v>290</v>
      </c>
      <c r="B15" s="29">
        <f>VLOOKUP(_xlfn.CONCAT($A15,"|",B$1),MasterSheet_WithPredictive!$A$1:$AP$265,36,FALSE)</f>
        <v>0.44335675810000003</v>
      </c>
      <c r="C15" s="29">
        <f>VLOOKUP(_xlfn.CONCAT($A15,"|",C$1),MasterSheet_WithPredictive!$A$1:$AP$265,36,FALSE)</f>
        <v>0.4371983083</v>
      </c>
      <c r="D15" s="29">
        <f>VLOOKUP(_xlfn.CONCAT($A15,"|",D$1),MasterSheet_WithPredictive!$A$1:$AP$265,36,FALSE)</f>
        <v>0.50075496770000005</v>
      </c>
      <c r="E15" s="29">
        <f>VLOOKUP(_xlfn.CONCAT($A15,"|",E$1),MasterSheet_WithPredictive!$A$1:$AP$265,36,FALSE)</f>
        <v>0.55093200789999996</v>
      </c>
      <c r="F15" s="29">
        <f>VLOOKUP(_xlfn.CONCAT($A15,"|",F$1),MasterSheet_WithPredictive!$A$1:$AP$265,36,FALSE)</f>
        <v>0.48925466499999998</v>
      </c>
      <c r="G15" s="29">
        <f>VLOOKUP(_xlfn.CONCAT($A15,"|",G$1),MasterSheet_WithPredictive!$A$1:$AP$265,36,FALSE)</f>
        <v>0.4980536123</v>
      </c>
      <c r="H15" s="29">
        <f>VLOOKUP(_xlfn.CONCAT($A15,"|",H$1),MasterSheet_WithPredictive!$A$1:$AP$265,36,FALSE)</f>
        <v>0.5137761716</v>
      </c>
      <c r="I15" s="29">
        <f>VLOOKUP(_xlfn.CONCAT($A15,"|",I$1),MasterSheet_WithPredictive!$A$1:$AP$265,36,FALSE)</f>
        <v>0.54582068549999996</v>
      </c>
      <c r="J15" s="29">
        <f>VLOOKUP(_xlfn.CONCAT($A15,"|",J$1),MasterSheet_WithPredictive!$A$1:$AP$265,36,FALSE)</f>
        <v>0.56234188389999995</v>
      </c>
      <c r="K15" s="29">
        <f>VLOOKUP(_xlfn.CONCAT($A15,"|",K$1),MasterSheet_WithPredictive!$A$1:$AP$265,36,FALSE)</f>
        <v>0.58088275899999997</v>
      </c>
      <c r="L15" s="29">
        <f>VLOOKUP(_xlfn.CONCAT($A15,"|",L$1),MasterSheet_WithPredictive!$A$1:$AP$265,36,FALSE)</f>
        <v>0.60121781730000001</v>
      </c>
      <c r="M15" s="29">
        <f>VLOOKUP(_xlfn.CONCAT($A15,"|",M$1),MasterSheet_WithPredictive!$A$1:$AP$265,36,FALSE)</f>
        <v>0.62351344269999998</v>
      </c>
    </row>
    <row r="16" spans="1:13" x14ac:dyDescent="0.4">
      <c r="A16" s="1" t="s">
        <v>291</v>
      </c>
      <c r="B16" s="29">
        <f>VLOOKUP(_xlfn.CONCAT($A16,"|",B$1),MasterSheet_WithPredictive!$A$1:$AP$265,36,FALSE)</f>
        <v>0.58802734150000002</v>
      </c>
      <c r="C16" s="29">
        <f>VLOOKUP(_xlfn.CONCAT($A16,"|",C$1),MasterSheet_WithPredictive!$A$1:$AP$265,36,FALSE)</f>
        <v>0.54087485619999998</v>
      </c>
      <c r="D16" s="29">
        <f>VLOOKUP(_xlfn.CONCAT($A16,"|",D$1),MasterSheet_WithPredictive!$A$1:$AP$265,36,FALSE)</f>
        <v>0.64395438800000004</v>
      </c>
      <c r="E16" s="29">
        <f>VLOOKUP(_xlfn.CONCAT($A16,"|",E$1),MasterSheet_WithPredictive!$A$1:$AP$265,36,FALSE)</f>
        <v>0.7445977211</v>
      </c>
      <c r="F16" s="29">
        <f>VLOOKUP(_xlfn.CONCAT($A16,"|",F$1),MasterSheet_WithPredictive!$A$1:$AP$265,36,FALSE)</f>
        <v>0.68349527669999999</v>
      </c>
      <c r="G16" s="29">
        <f>VLOOKUP(_xlfn.CONCAT($A16,"|",G$1),MasterSheet_WithPredictive!$A$1:$AP$265,36,FALSE)</f>
        <v>0.68880788100000001</v>
      </c>
      <c r="H16" s="29">
        <f>VLOOKUP(_xlfn.CONCAT($A16,"|",H$1),MasterSheet_WithPredictive!$A$1:$AP$265,36,FALSE)</f>
        <v>0.75894907389999999</v>
      </c>
      <c r="I16" s="29">
        <f>VLOOKUP(_xlfn.CONCAT($A16,"|",I$1),MasterSheet_WithPredictive!$A$1:$AP$265,36,FALSE)</f>
        <v>0.79196554109999995</v>
      </c>
      <c r="J16" s="29">
        <f>VLOOKUP(_xlfn.CONCAT($A16,"|",J$1),MasterSheet_WithPredictive!$A$1:$AP$265,36,FALSE)</f>
        <v>0.82391236550000002</v>
      </c>
      <c r="K16" s="29">
        <f>VLOOKUP(_xlfn.CONCAT($A16,"|",K$1),MasterSheet_WithPredictive!$A$1:$AP$265,36,FALSE)</f>
        <v>0.85834714909999998</v>
      </c>
      <c r="L16" s="29">
        <f>VLOOKUP(_xlfn.CONCAT($A16,"|",L$1),MasterSheet_WithPredictive!$A$1:$AP$265,36,FALSE)</f>
        <v>0.89474630020000001</v>
      </c>
      <c r="M16" s="29">
        <f>VLOOKUP(_xlfn.CONCAT($A16,"|",M$1),MasterSheet_WithPredictive!$A$1:$AP$265,36,FALSE)</f>
        <v>0.93423895609999996</v>
      </c>
    </row>
    <row r="17" spans="1:13" x14ac:dyDescent="0.4">
      <c r="A17" s="1" t="s">
        <v>292</v>
      </c>
      <c r="B17" s="29">
        <f>VLOOKUP(_xlfn.CONCAT($A17,"|",B$1),MasterSheet_WithPredictive!$A$1:$AP$265,36,FALSE)</f>
        <v>0.2434883236</v>
      </c>
      <c r="C17" s="29">
        <f>VLOOKUP(_xlfn.CONCAT($A17,"|",C$1),MasterSheet_WithPredictive!$A$1:$AP$265,36,FALSE)</f>
        <v>0.31338252</v>
      </c>
      <c r="D17" s="29">
        <f>VLOOKUP(_xlfn.CONCAT($A17,"|",D$1),MasterSheet_WithPredictive!$A$1:$AP$265,36,FALSE)</f>
        <v>0.35911402190000002</v>
      </c>
      <c r="E17" s="29">
        <f>VLOOKUP(_xlfn.CONCAT($A17,"|",E$1),MasterSheet_WithPredictive!$A$1:$AP$265,36,FALSE)</f>
        <v>0.31221893719999999</v>
      </c>
      <c r="F17" s="29">
        <f>VLOOKUP(_xlfn.CONCAT($A17,"|",F$1),MasterSheet_WithPredictive!$A$1:$AP$265,36,FALSE)</f>
        <v>0.28948203550000001</v>
      </c>
      <c r="G17" s="29">
        <f>VLOOKUP(_xlfn.CONCAT($A17,"|",G$1),MasterSheet_WithPredictive!$A$1:$AP$265,36,FALSE)</f>
        <v>0.31090946699999999</v>
      </c>
      <c r="H17" s="29">
        <f>VLOOKUP(_xlfn.CONCAT($A17,"|",H$1),MasterSheet_WithPredictive!$A$1:$AP$265,36,FALSE)</f>
        <v>0.40481933339999998</v>
      </c>
      <c r="I17" s="29">
        <f>VLOOKUP(_xlfn.CONCAT($A17,"|",I$1),MasterSheet_WithPredictive!$A$1:$AP$265,36,FALSE)</f>
        <v>0.38184259970000001</v>
      </c>
      <c r="J17" s="29">
        <f>VLOOKUP(_xlfn.CONCAT($A17,"|",J$1),MasterSheet_WithPredictive!$A$1:$AP$265,36,FALSE)</f>
        <v>0.39764026299999999</v>
      </c>
      <c r="K17" s="29">
        <f>VLOOKUP(_xlfn.CONCAT($A17,"|",K$1),MasterSheet_WithPredictive!$A$1:$AP$265,36,FALSE)</f>
        <v>0.41402690599999997</v>
      </c>
      <c r="L17" s="29">
        <f>VLOOKUP(_xlfn.CONCAT($A17,"|",L$1),MasterSheet_WithPredictive!$A$1:$AP$265,36,FALSE)</f>
        <v>0.42773796339999998</v>
      </c>
      <c r="M17" s="29">
        <f>VLOOKUP(_xlfn.CONCAT($A17,"|",M$1),MasterSheet_WithPredictive!$A$1:$AP$265,36,FALSE)</f>
        <v>0.4475492922</v>
      </c>
    </row>
    <row r="18" spans="1:13" x14ac:dyDescent="0.4">
      <c r="A18" s="1" t="s">
        <v>293</v>
      </c>
      <c r="B18" s="29">
        <f>VLOOKUP(_xlfn.CONCAT($A18,"|",B$1),MasterSheet_WithPredictive!$A$1:$AP$265,36,FALSE)</f>
        <v>0.27493413259999999</v>
      </c>
      <c r="C18" s="29">
        <f>VLOOKUP(_xlfn.CONCAT($A18,"|",C$1),MasterSheet_WithPredictive!$A$1:$AP$265,36,FALSE)</f>
        <v>0.30909528949999998</v>
      </c>
      <c r="D18" s="29">
        <f>VLOOKUP(_xlfn.CONCAT($A18,"|",D$1),MasterSheet_WithPredictive!$A$1:$AP$265,36,FALSE)</f>
        <v>0.32564878780000001</v>
      </c>
      <c r="E18" s="29">
        <f>VLOOKUP(_xlfn.CONCAT($A18,"|",E$1),MasterSheet_WithPredictive!$A$1:$AP$265,36,FALSE)</f>
        <v>0.29079186099999998</v>
      </c>
      <c r="F18" s="29">
        <f>VLOOKUP(_xlfn.CONCAT($A18,"|",F$1),MasterSheet_WithPredictive!$A$1:$AP$265,36,FALSE)</f>
        <v>0.30576067629999998</v>
      </c>
      <c r="G18" s="29">
        <f>VLOOKUP(_xlfn.CONCAT($A18,"|",G$1),MasterSheet_WithPredictive!$A$1:$AP$265,36,FALSE)</f>
        <v>0.36952463769999999</v>
      </c>
      <c r="H18" s="29">
        <f>VLOOKUP(_xlfn.CONCAT($A18,"|",H$1),MasterSheet_WithPredictive!$A$1:$AP$265,36,FALSE)</f>
        <v>0.36155826279999997</v>
      </c>
      <c r="I18" s="29">
        <f>VLOOKUP(_xlfn.CONCAT($A18,"|",I$1),MasterSheet_WithPredictive!$A$1:$AP$265,36,FALSE)</f>
        <v>0.37677459889999998</v>
      </c>
      <c r="J18" s="29">
        <f>VLOOKUP(_xlfn.CONCAT($A18,"|",J$1),MasterSheet_WithPredictive!$A$1:$AP$265,36,FALSE)</f>
        <v>0.3929687697</v>
      </c>
      <c r="K18" s="29">
        <f>VLOOKUP(_xlfn.CONCAT($A18,"|",K$1),MasterSheet_WithPredictive!$A$1:$AP$265,36,FALSE)</f>
        <v>0.41017475609999998</v>
      </c>
      <c r="L18" s="29">
        <f>VLOOKUP(_xlfn.CONCAT($A18,"|",L$1),MasterSheet_WithPredictive!$A$1:$AP$265,36,FALSE)</f>
        <v>0.42835793010000001</v>
      </c>
      <c r="M18" s="29">
        <f>VLOOKUP(_xlfn.CONCAT($A18,"|",M$1),MasterSheet_WithPredictive!$A$1:$AP$265,36,FALSE)</f>
        <v>0.45080297009999998</v>
      </c>
    </row>
    <row r="19" spans="1:13" x14ac:dyDescent="0.4">
      <c r="A19" s="1" t="s">
        <v>294</v>
      </c>
      <c r="B19" s="29">
        <f>VLOOKUP(_xlfn.CONCAT($A19,"|",B$1),MasterSheet_WithPredictive!$A$1:$AP$265,36,FALSE)</f>
        <v>0.37679077840000003</v>
      </c>
      <c r="C19" s="29">
        <f>VLOOKUP(_xlfn.CONCAT($A19,"|",C$1),MasterSheet_WithPredictive!$A$1:$AP$265,36,FALSE)</f>
        <v>0.37873407329999997</v>
      </c>
      <c r="D19" s="29">
        <f>VLOOKUP(_xlfn.CONCAT($A19,"|",D$1),MasterSheet_WithPredictive!$A$1:$AP$265,36,FALSE)</f>
        <v>0.39178565850000002</v>
      </c>
      <c r="E19" s="29">
        <f>VLOOKUP(_xlfn.CONCAT($A19,"|",E$1),MasterSheet_WithPredictive!$A$1:$AP$265,36,FALSE)</f>
        <v>0.38177229499999998</v>
      </c>
      <c r="F19" s="29">
        <f>VLOOKUP(_xlfn.CONCAT($A19,"|",F$1),MasterSheet_WithPredictive!$A$1:$AP$265,36,FALSE)</f>
        <v>0.41154064559999998</v>
      </c>
      <c r="G19" s="29">
        <f>VLOOKUP(_xlfn.CONCAT($A19,"|",G$1),MasterSheet_WithPredictive!$A$1:$AP$265,36,FALSE)</f>
        <v>0.45128786529999998</v>
      </c>
      <c r="H19" s="29">
        <f>VLOOKUP(_xlfn.CONCAT($A19,"|",H$1),MasterSheet_WithPredictive!$A$1:$AP$265,36,FALSE)</f>
        <v>0.47912737950000001</v>
      </c>
      <c r="I19" s="29">
        <f>VLOOKUP(_xlfn.CONCAT($A19,"|",I$1),MasterSheet_WithPredictive!$A$1:$AP$265,36,FALSE)</f>
        <v>0.4839145044</v>
      </c>
      <c r="J19" s="29">
        <f>VLOOKUP(_xlfn.CONCAT($A19,"|",J$1),MasterSheet_WithPredictive!$A$1:$AP$265,36,FALSE)</f>
        <v>0.5050592076</v>
      </c>
      <c r="K19" s="29">
        <f>VLOOKUP(_xlfn.CONCAT($A19,"|",K$1),MasterSheet_WithPredictive!$A$1:$AP$265,36,FALSE)</f>
        <v>0.52757515150000001</v>
      </c>
      <c r="L19" s="29">
        <f>VLOOKUP(_xlfn.CONCAT($A19,"|",L$1),MasterSheet_WithPredictive!$A$1:$AP$265,36,FALSE)</f>
        <v>0.55505348600000004</v>
      </c>
      <c r="M19" s="29">
        <f>VLOOKUP(_xlfn.CONCAT($A19,"|",M$1),MasterSheet_WithPredictive!$A$1:$AP$265,36,FALSE)</f>
        <v>0.58182350910000002</v>
      </c>
    </row>
    <row r="20" spans="1:13" x14ac:dyDescent="0.4">
      <c r="A20" s="1" t="s">
        <v>295</v>
      </c>
      <c r="B20" s="29">
        <f>VLOOKUP(_xlfn.CONCAT($A20,"|",B$1),MasterSheet_WithPredictive!$A$1:$AP$265,36,FALSE)</f>
        <v>0.42082934179999998</v>
      </c>
      <c r="C20" s="29">
        <f>VLOOKUP(_xlfn.CONCAT($A20,"|",C$1),MasterSheet_WithPredictive!$A$1:$AP$265,36,FALSE)</f>
        <v>0.40240014639999999</v>
      </c>
      <c r="D20" s="29">
        <f>VLOOKUP(_xlfn.CONCAT($A20,"|",D$1),MasterSheet_WithPredictive!$A$1:$AP$265,36,FALSE)</f>
        <v>0.48241820610000002</v>
      </c>
      <c r="E20" s="29">
        <f>VLOOKUP(_xlfn.CONCAT($A20,"|",E$1),MasterSheet_WithPredictive!$A$1:$AP$265,36,FALSE)</f>
        <v>0.5195756399</v>
      </c>
      <c r="F20" s="29">
        <f>VLOOKUP(_xlfn.CONCAT($A20,"|",F$1),MasterSheet_WithPredictive!$A$1:$AP$265,36,FALSE)</f>
        <v>0.51054764239999995</v>
      </c>
      <c r="G20" s="29">
        <f>VLOOKUP(_xlfn.CONCAT($A20,"|",G$1),MasterSheet_WithPredictive!$A$1:$AP$265,36,FALSE)</f>
        <v>0.51898188460000005</v>
      </c>
      <c r="H20" s="29">
        <f>VLOOKUP(_xlfn.CONCAT($A20,"|",H$1),MasterSheet_WithPredictive!$A$1:$AP$265,36,FALSE)</f>
        <v>0.52302626240000005</v>
      </c>
      <c r="I20" s="29">
        <f>VLOOKUP(_xlfn.CONCAT($A20,"|",I$1),MasterSheet_WithPredictive!$A$1:$AP$265,36,FALSE)</f>
        <v>0.56792914530000005</v>
      </c>
      <c r="J20" s="29">
        <f>VLOOKUP(_xlfn.CONCAT($A20,"|",J$1),MasterSheet_WithPredictive!$A$1:$AP$265,36,FALSE)</f>
        <v>0.59170184020000005</v>
      </c>
      <c r="K20" s="29">
        <f>VLOOKUP(_xlfn.CONCAT($A20,"|",K$1),MasterSheet_WithPredictive!$A$1:$AP$265,36,FALSE)</f>
        <v>0.61706066400000004</v>
      </c>
      <c r="L20" s="29">
        <f>VLOOKUP(_xlfn.CONCAT($A20,"|",L$1),MasterSheet_WithPredictive!$A$1:$AP$265,36,FALSE)</f>
        <v>0.64299607680000004</v>
      </c>
      <c r="M20" s="29">
        <f>VLOOKUP(_xlfn.CONCAT($A20,"|",M$1),MasterSheet_WithPredictive!$A$1:$AP$265,36,FALSE)</f>
        <v>0.66316584690000002</v>
      </c>
    </row>
    <row r="21" spans="1:13" x14ac:dyDescent="0.4">
      <c r="A21" s="1" t="s">
        <v>296</v>
      </c>
      <c r="B21" s="29">
        <f>VLOOKUP(_xlfn.CONCAT($A21,"|",B$1),MasterSheet_WithPredictive!$A$1:$AP$265,36,FALSE)</f>
        <v>0.2463659054</v>
      </c>
      <c r="C21" s="29">
        <f>VLOOKUP(_xlfn.CONCAT($A21,"|",C$1),MasterSheet_WithPredictive!$A$1:$AP$265,36,FALSE)</f>
        <v>0.24155395469999999</v>
      </c>
      <c r="D21" s="29">
        <f>VLOOKUP(_xlfn.CONCAT($A21,"|",D$1),MasterSheet_WithPredictive!$A$1:$AP$265,36,FALSE)</f>
        <v>0.248193951</v>
      </c>
      <c r="E21" s="29">
        <f>VLOOKUP(_xlfn.CONCAT($A21,"|",E$1),MasterSheet_WithPredictive!$A$1:$AP$265,36,FALSE)</f>
        <v>0.25358747650000002</v>
      </c>
      <c r="F21" s="29">
        <f>VLOOKUP(_xlfn.CONCAT($A21,"|",F$1),MasterSheet_WithPredictive!$A$1:$AP$265,36,FALSE)</f>
        <v>0.31132148380000002</v>
      </c>
      <c r="G21" s="29">
        <f>VLOOKUP(_xlfn.CONCAT($A21,"|",G$1),MasterSheet_WithPredictive!$A$1:$AP$265,36,FALSE)</f>
        <v>0.25010060719999999</v>
      </c>
      <c r="H21" s="29">
        <f>VLOOKUP(_xlfn.CONCAT($A21,"|",H$1),MasterSheet_WithPredictive!$A$1:$AP$265,36,FALSE)</f>
        <v>0.2048645697</v>
      </c>
      <c r="I21" s="29">
        <f>VLOOKUP(_xlfn.CONCAT($A21,"|",I$1),MasterSheet_WithPredictive!$A$1:$AP$265,36,FALSE)</f>
        <v>0.24282711260000001</v>
      </c>
      <c r="J21" s="29">
        <f>VLOOKUP(_xlfn.CONCAT($A21,"|",J$1),MasterSheet_WithPredictive!$A$1:$AP$265,36,FALSE)</f>
        <v>0.26031523950000002</v>
      </c>
      <c r="K21" s="29">
        <f>VLOOKUP(_xlfn.CONCAT($A21,"|",K$1),MasterSheet_WithPredictive!$A$1:$AP$265,36,FALSE)</f>
        <v>0.27992902759999999</v>
      </c>
      <c r="L21" s="29">
        <f>VLOOKUP(_xlfn.CONCAT($A21,"|",L$1),MasterSheet_WithPredictive!$A$1:$AP$265,36,FALSE)</f>
        <v>0.30145412719999998</v>
      </c>
      <c r="M21" s="29">
        <f>VLOOKUP(_xlfn.CONCAT($A21,"|",M$1),MasterSheet_WithPredictive!$A$1:$AP$265,36,FALSE)</f>
        <v>0.32592665310000002</v>
      </c>
    </row>
    <row r="22" spans="1:13" x14ac:dyDescent="0.4">
      <c r="A22" s="1" t="s">
        <v>297</v>
      </c>
      <c r="B22" s="29">
        <f>VLOOKUP(_xlfn.CONCAT($A22,"|",B$1),MasterSheet_WithPredictive!$A$1:$AP$265,36,FALSE)</f>
        <v>0.3130358869</v>
      </c>
      <c r="C22" s="29">
        <f>VLOOKUP(_xlfn.CONCAT($A22,"|",C$1),MasterSheet_WithPredictive!$A$1:$AP$265,36,FALSE)</f>
        <v>0.34793433219999997</v>
      </c>
      <c r="D22" s="29">
        <f>VLOOKUP(_xlfn.CONCAT($A22,"|",D$1),MasterSheet_WithPredictive!$A$1:$AP$265,36,FALSE)</f>
        <v>0.35850942219999998</v>
      </c>
      <c r="E22" s="29">
        <f>VLOOKUP(_xlfn.CONCAT($A22,"|",E$1),MasterSheet_WithPredictive!$A$1:$AP$265,36,FALSE)</f>
        <v>0.35780415160000001</v>
      </c>
      <c r="F22" s="29">
        <f>VLOOKUP(_xlfn.CONCAT($A22,"|",F$1),MasterSheet_WithPredictive!$A$1:$AP$265,36,FALSE)</f>
        <v>0.34350150699999998</v>
      </c>
      <c r="G22" s="29">
        <f>VLOOKUP(_xlfn.CONCAT($A22,"|",G$1),MasterSheet_WithPredictive!$A$1:$AP$265,36,FALSE)</f>
        <v>0.36051763339999998</v>
      </c>
      <c r="H22" s="29">
        <f>VLOOKUP(_xlfn.CONCAT($A22,"|",H$1),MasterSheet_WithPredictive!$A$1:$AP$265,36,FALSE)</f>
        <v>0.38699112610000003</v>
      </c>
      <c r="I22" s="29">
        <f>VLOOKUP(_xlfn.CONCAT($A22,"|",I$1),MasterSheet_WithPredictive!$A$1:$AP$265,36,FALSE)</f>
        <v>0.38893095049999998</v>
      </c>
      <c r="J22" s="29">
        <f>VLOOKUP(_xlfn.CONCAT($A22,"|",J$1),MasterSheet_WithPredictive!$A$1:$AP$265,36,FALSE)</f>
        <v>0.39854390150000002</v>
      </c>
      <c r="K22" s="29">
        <f>VLOOKUP(_xlfn.CONCAT($A22,"|",K$1),MasterSheet_WithPredictive!$A$1:$AP$265,36,FALSE)</f>
        <v>0.40902957420000002</v>
      </c>
      <c r="L22" s="29">
        <f>VLOOKUP(_xlfn.CONCAT($A22,"|",L$1),MasterSheet_WithPredictive!$A$1:$AP$265,36,FALSE)</f>
        <v>0.42028815609999998</v>
      </c>
      <c r="M22" s="29">
        <f>VLOOKUP(_xlfn.CONCAT($A22,"|",M$1),MasterSheet_WithPredictive!$A$1:$AP$265,36,FALSE)</f>
        <v>0.4323700889</v>
      </c>
    </row>
    <row r="23" spans="1:13" x14ac:dyDescent="0.4">
      <c r="A23" s="1" t="s">
        <v>298</v>
      </c>
      <c r="B23" s="29">
        <f>VLOOKUP(_xlfn.CONCAT($A23,"|",B$1),MasterSheet_WithPredictive!$A$1:$AP$265,36,FALSE)</f>
        <v>0.52860187140000003</v>
      </c>
      <c r="C23" s="29">
        <f>VLOOKUP(_xlfn.CONCAT($A23,"|",C$1),MasterSheet_WithPredictive!$A$1:$AP$265,36,FALSE)</f>
        <v>0.57076469460000001</v>
      </c>
      <c r="D23" s="29">
        <f>VLOOKUP(_xlfn.CONCAT($A23,"|",D$1),MasterSheet_WithPredictive!$A$1:$AP$265,36,FALSE)</f>
        <v>0.58152152970000004</v>
      </c>
      <c r="E23" s="29">
        <f>VLOOKUP(_xlfn.CONCAT($A23,"|",E$1),MasterSheet_WithPredictive!$A$1:$AP$265,36,FALSE)</f>
        <v>0.58517857669999995</v>
      </c>
      <c r="F23" s="29">
        <f>VLOOKUP(_xlfn.CONCAT($A23,"|",F$1),MasterSheet_WithPredictive!$A$1:$AP$265,36,FALSE)</f>
        <v>0.58082263420000002</v>
      </c>
      <c r="G23" s="29">
        <f>VLOOKUP(_xlfn.CONCAT($A23,"|",G$1),MasterSheet_WithPredictive!$A$1:$AP$265,36,FALSE)</f>
        <v>0.59890521529999996</v>
      </c>
      <c r="H23" s="29">
        <f>VLOOKUP(_xlfn.CONCAT($A23,"|",H$1),MasterSheet_WithPredictive!$A$1:$AP$265,36,FALSE)</f>
        <v>0.65331132970000005</v>
      </c>
      <c r="I23" s="29">
        <f>VLOOKUP(_xlfn.CONCAT($A23,"|",I$1),MasterSheet_WithPredictive!$A$1:$AP$265,36,FALSE)</f>
        <v>0.65244811049999996</v>
      </c>
      <c r="J23" s="29">
        <f>VLOOKUP(_xlfn.CONCAT($A23,"|",J$1),MasterSheet_WithPredictive!$A$1:$AP$265,36,FALSE)</f>
        <v>0.66903629399999998</v>
      </c>
      <c r="K23" s="29">
        <f>VLOOKUP(_xlfn.CONCAT($A23,"|",K$1),MasterSheet_WithPredictive!$A$1:$AP$265,36,FALSE)</f>
        <v>0.68694914809999996</v>
      </c>
      <c r="L23" s="29">
        <f>VLOOKUP(_xlfn.CONCAT($A23,"|",L$1),MasterSheet_WithPredictive!$A$1:$AP$265,36,FALSE)</f>
        <v>0.70592945360000003</v>
      </c>
      <c r="M23" s="29">
        <f>VLOOKUP(_xlfn.CONCAT($A23,"|",M$1),MasterSheet_WithPredictive!$A$1:$AP$265,36,FALSE)</f>
        <v>0.72720430840000005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FA3E7-1F76-4A77-AD41-8C8B4751CDA7}">
  <dimension ref="A1:M23"/>
  <sheetViews>
    <sheetView workbookViewId="0">
      <selection activeCell="I17" sqref="I17"/>
    </sheetView>
  </sheetViews>
  <sheetFormatPr defaultRowHeight="14.6" x14ac:dyDescent="0.4"/>
  <cols>
    <col min="1" max="1" width="15.53515625" bestFit="1" customWidth="1"/>
    <col min="2" max="13" width="11.921875" bestFit="1" customWidth="1"/>
  </cols>
  <sheetData>
    <row r="1" spans="1:13" x14ac:dyDescent="0.4">
      <c r="A1" s="1" t="s">
        <v>305</v>
      </c>
      <c r="B1" s="1">
        <v>2019</v>
      </c>
      <c r="C1" s="1">
        <v>2020</v>
      </c>
      <c r="D1" s="1">
        <v>2021</v>
      </c>
      <c r="E1" s="1">
        <v>2022</v>
      </c>
      <c r="F1" s="1">
        <v>2023</v>
      </c>
      <c r="G1" s="1">
        <v>2024</v>
      </c>
      <c r="H1" s="1">
        <v>2025</v>
      </c>
      <c r="I1" s="1">
        <v>2026</v>
      </c>
      <c r="J1" s="1">
        <v>2027</v>
      </c>
      <c r="K1" s="1">
        <v>2028</v>
      </c>
      <c r="L1" s="1">
        <v>2029</v>
      </c>
      <c r="M1" s="1">
        <v>2030</v>
      </c>
    </row>
    <row r="2" spans="1:13" x14ac:dyDescent="0.4">
      <c r="A2" s="1" t="s">
        <v>277</v>
      </c>
      <c r="B2" s="30">
        <f>VLOOKUP(_xlfn.CONCAT($A2,"|",B$1),MasterSheet_WithPredictive!$A$1:$AP$265,37,FALSE)</f>
        <v>1956.4984569999999</v>
      </c>
      <c r="C2" s="30">
        <f>VLOOKUP(_xlfn.CONCAT($A2,"|",C$1),MasterSheet_WithPredictive!$A$1:$AP$265,37,FALSE)</f>
        <v>2267.4307119999999</v>
      </c>
      <c r="D2" s="30">
        <f>VLOOKUP(_xlfn.CONCAT($A2,"|",D$1),MasterSheet_WithPredictive!$A$1:$AP$265,37,FALSE)</f>
        <v>2139.7004670000001</v>
      </c>
      <c r="E2" s="30">
        <f>VLOOKUP(_xlfn.CONCAT($A2,"|",E$1),MasterSheet_WithPredictive!$A$1:$AP$265,37,FALSE)</f>
        <v>742.2300401</v>
      </c>
      <c r="F2" s="30">
        <f>VLOOKUP(_xlfn.CONCAT($A2,"|",F$1),MasterSheet_WithPredictive!$A$1:$AP$265,37,FALSE)</f>
        <v>-2685.605591</v>
      </c>
      <c r="G2" s="30">
        <f>VLOOKUP(_xlfn.CONCAT($A2,"|",G$1),MasterSheet_WithPredictive!$A$1:$AP$265,37,FALSE)</f>
        <v>-5729.4277730000003</v>
      </c>
      <c r="H2" s="30">
        <f>VLOOKUP(_xlfn.CONCAT($A2,"|",H$1),MasterSheet_WithPredictive!$A$1:$AP$265,37,FALSE)</f>
        <v>4641.7306269999999</v>
      </c>
      <c r="I2" s="30">
        <f>VLOOKUP(_xlfn.CONCAT($A2,"|",I$1),MasterSheet_WithPredictive!$A$1:$AP$265,37,FALSE)</f>
        <v>5054.555848</v>
      </c>
      <c r="J2" s="30">
        <f>VLOOKUP(_xlfn.CONCAT($A2,"|",J$1),MasterSheet_WithPredictive!$A$1:$AP$265,37,FALSE)</f>
        <v>5400.3568869999999</v>
      </c>
      <c r="K2" s="30">
        <f>VLOOKUP(_xlfn.CONCAT($A2,"|",K$1),MasterSheet_WithPredictive!$A$1:$AP$265,37,FALSE)</f>
        <v>5712.4963189999999</v>
      </c>
      <c r="L2" s="30">
        <f>VLOOKUP(_xlfn.CONCAT($A2,"|",L$1),MasterSheet_WithPredictive!$A$1:$AP$265,37,FALSE)</f>
        <v>6000.079017</v>
      </c>
      <c r="M2" s="30">
        <f>VLOOKUP(_xlfn.CONCAT($A2,"|",M$1),MasterSheet_WithPredictive!$A$1:$AP$265,37,FALSE)</f>
        <v>6243.9965830000001</v>
      </c>
    </row>
    <row r="3" spans="1:13" x14ac:dyDescent="0.4">
      <c r="A3" s="1" t="s">
        <v>278</v>
      </c>
      <c r="B3" s="30">
        <f>VLOOKUP(_xlfn.CONCAT($A3,"|",B$1),MasterSheet_WithPredictive!$A$1:$AP$265,37,FALSE)</f>
        <v>32692.040079999999</v>
      </c>
      <c r="C3" s="30">
        <f>VLOOKUP(_xlfn.CONCAT($A3,"|",C$1),MasterSheet_WithPredictive!$A$1:$AP$265,37,FALSE)</f>
        <v>31028.996490000001</v>
      </c>
      <c r="D3" s="30">
        <f>VLOOKUP(_xlfn.CONCAT($A3,"|",D$1),MasterSheet_WithPredictive!$A$1:$AP$265,37,FALSE)</f>
        <v>36532.640570000003</v>
      </c>
      <c r="E3" s="30">
        <f>VLOOKUP(_xlfn.CONCAT($A3,"|",E$1),MasterSheet_WithPredictive!$A$1:$AP$265,37,FALSE)</f>
        <v>37892.941070000001</v>
      </c>
      <c r="F3" s="30">
        <f>VLOOKUP(_xlfn.CONCAT($A3,"|",F$1),MasterSheet_WithPredictive!$A$1:$AP$265,37,FALSE)</f>
        <v>38830.924050000001</v>
      </c>
      <c r="G3" s="30">
        <f>VLOOKUP(_xlfn.CONCAT($A3,"|",G$1),MasterSheet_WithPredictive!$A$1:$AP$265,37,FALSE)</f>
        <v>39609.212270000004</v>
      </c>
      <c r="H3" s="30">
        <f>VLOOKUP(_xlfn.CONCAT($A3,"|",H$1),MasterSheet_WithPredictive!$A$1:$AP$265,37,FALSE)</f>
        <v>39300.546520000004</v>
      </c>
      <c r="I3" s="30">
        <f>VLOOKUP(_xlfn.CONCAT($A3,"|",I$1),MasterSheet_WithPredictive!$A$1:$AP$265,37,FALSE)</f>
        <v>40830.692130000003</v>
      </c>
      <c r="J3" s="30">
        <f>VLOOKUP(_xlfn.CONCAT($A3,"|",J$1),MasterSheet_WithPredictive!$A$1:$AP$265,37,FALSE)</f>
        <v>42466.291210000003</v>
      </c>
      <c r="K3" s="30">
        <f>VLOOKUP(_xlfn.CONCAT($A3,"|",K$1),MasterSheet_WithPredictive!$A$1:$AP$265,37,FALSE)</f>
        <v>43858.806420000001</v>
      </c>
      <c r="L3" s="30">
        <f>VLOOKUP(_xlfn.CONCAT($A3,"|",L$1),MasterSheet_WithPredictive!$A$1:$AP$265,37,FALSE)</f>
        <v>45156.92815</v>
      </c>
      <c r="M3" s="30">
        <f>VLOOKUP(_xlfn.CONCAT($A3,"|",M$1),MasterSheet_WithPredictive!$A$1:$AP$265,37,FALSE)</f>
        <v>45824.021430000001</v>
      </c>
    </row>
    <row r="4" spans="1:13" x14ac:dyDescent="0.4">
      <c r="A4" s="1" t="s">
        <v>279</v>
      </c>
      <c r="B4" s="30">
        <f>VLOOKUP(_xlfn.CONCAT($A4,"|",B$1),MasterSheet_WithPredictive!$A$1:$AP$265,37,FALSE)</f>
        <v>2094.9529440000001</v>
      </c>
      <c r="C4" s="30">
        <f>VLOOKUP(_xlfn.CONCAT($A4,"|",C$1),MasterSheet_WithPredictive!$A$1:$AP$265,37,FALSE)</f>
        <v>1924.0030710000001</v>
      </c>
      <c r="D4" s="30">
        <f>VLOOKUP(_xlfn.CONCAT($A4,"|",D$1),MasterSheet_WithPredictive!$A$1:$AP$265,37,FALSE)</f>
        <v>1747.2530019999999</v>
      </c>
      <c r="E4" s="30">
        <f>VLOOKUP(_xlfn.CONCAT($A4,"|",E$1),MasterSheet_WithPredictive!$A$1:$AP$265,37,FALSE)</f>
        <v>2189.204166</v>
      </c>
      <c r="F4" s="30">
        <f>VLOOKUP(_xlfn.CONCAT($A4,"|",F$1),MasterSheet_WithPredictive!$A$1:$AP$265,37,FALSE)</f>
        <v>2643.5374259999999</v>
      </c>
      <c r="G4" s="30">
        <f>VLOOKUP(_xlfn.CONCAT($A4,"|",G$1),MasterSheet_WithPredictive!$A$1:$AP$265,37,FALSE)</f>
        <v>2647.4746949999999</v>
      </c>
      <c r="H4" s="30">
        <f>VLOOKUP(_xlfn.CONCAT($A4,"|",H$1),MasterSheet_WithPredictive!$A$1:$AP$265,37,FALSE)</f>
        <v>2582.0100000000002</v>
      </c>
      <c r="I4" s="30">
        <f>VLOOKUP(_xlfn.CONCAT($A4,"|",I$1),MasterSheet_WithPredictive!$A$1:$AP$265,37,FALSE)</f>
        <v>2735.0851149999999</v>
      </c>
      <c r="J4" s="30">
        <f>VLOOKUP(_xlfn.CONCAT($A4,"|",J$1),MasterSheet_WithPredictive!$A$1:$AP$265,37,FALSE)</f>
        <v>2888.3706010000001</v>
      </c>
      <c r="K4" s="30">
        <f>VLOOKUP(_xlfn.CONCAT($A4,"|",K$1),MasterSheet_WithPredictive!$A$1:$AP$265,37,FALSE)</f>
        <v>3033.1506939999999</v>
      </c>
      <c r="L4" s="30">
        <f>VLOOKUP(_xlfn.CONCAT($A4,"|",L$1),MasterSheet_WithPredictive!$A$1:$AP$265,37,FALSE)</f>
        <v>3176.5319850000001</v>
      </c>
      <c r="M4" s="30">
        <f>VLOOKUP(_xlfn.CONCAT($A4,"|",M$1),MasterSheet_WithPredictive!$A$1:$AP$265,37,FALSE)</f>
        <v>3355.8144440000001</v>
      </c>
    </row>
    <row r="5" spans="1:13" x14ac:dyDescent="0.4">
      <c r="A5" s="1" t="s">
        <v>280</v>
      </c>
      <c r="B5" s="30">
        <f>VLOOKUP(_xlfn.CONCAT($A5,"|",B$1),MasterSheet_WithPredictive!$A$1:$AP$265,37,FALSE)</f>
        <v>27405.941429999999</v>
      </c>
      <c r="C5" s="30">
        <f>VLOOKUP(_xlfn.CONCAT($A5,"|",C$1),MasterSheet_WithPredictive!$A$1:$AP$265,37,FALSE)</f>
        <v>27275.404109999999</v>
      </c>
      <c r="D5" s="30">
        <f>VLOOKUP(_xlfn.CONCAT($A5,"|",D$1),MasterSheet_WithPredictive!$A$1:$AP$265,37,FALSE)</f>
        <v>32136.2791</v>
      </c>
      <c r="E5" s="30">
        <f>VLOOKUP(_xlfn.CONCAT($A5,"|",E$1),MasterSheet_WithPredictive!$A$1:$AP$265,37,FALSE)</f>
        <v>33528.831910000001</v>
      </c>
      <c r="F5" s="30">
        <f>VLOOKUP(_xlfn.CONCAT($A5,"|",F$1),MasterSheet_WithPredictive!$A$1:$AP$265,37,FALSE)</f>
        <v>33602.518790000002</v>
      </c>
      <c r="G5" s="30">
        <f>VLOOKUP(_xlfn.CONCAT($A5,"|",G$1),MasterSheet_WithPredictive!$A$1:$AP$265,37,FALSE)</f>
        <v>34340.777770000001</v>
      </c>
      <c r="H5" s="30">
        <f>VLOOKUP(_xlfn.CONCAT($A5,"|",H$1),MasterSheet_WithPredictive!$A$1:$AP$265,37,FALSE)</f>
        <v>34043.939350000001</v>
      </c>
      <c r="I5" s="30">
        <f>VLOOKUP(_xlfn.CONCAT($A5,"|",I$1),MasterSheet_WithPredictive!$A$1:$AP$265,37,FALSE)</f>
        <v>35715.441469999998</v>
      </c>
      <c r="J5" s="30">
        <f>VLOOKUP(_xlfn.CONCAT($A5,"|",J$1),MasterSheet_WithPredictive!$A$1:$AP$265,37,FALSE)</f>
        <v>37288.895080000002</v>
      </c>
      <c r="K5" s="30">
        <f>VLOOKUP(_xlfn.CONCAT($A5,"|",K$1),MasterSheet_WithPredictive!$A$1:$AP$265,37,FALSE)</f>
        <v>38630.495080000001</v>
      </c>
      <c r="L5" s="30">
        <f>VLOOKUP(_xlfn.CONCAT($A5,"|",L$1),MasterSheet_WithPredictive!$A$1:$AP$265,37,FALSE)</f>
        <v>39885.26225</v>
      </c>
      <c r="M5" s="30">
        <f>VLOOKUP(_xlfn.CONCAT($A5,"|",M$1),MasterSheet_WithPredictive!$A$1:$AP$265,37,FALSE)</f>
        <v>40375.12212</v>
      </c>
    </row>
    <row r="6" spans="1:13" x14ac:dyDescent="0.4">
      <c r="A6" s="1" t="s">
        <v>281</v>
      </c>
      <c r="B6" s="30">
        <f>VLOOKUP(_xlfn.CONCAT($A6,"|",B$1),MasterSheet_WithPredictive!$A$1:$AP$265,37,FALSE)</f>
        <v>3790.1228940000001</v>
      </c>
      <c r="C6" s="30">
        <f>VLOOKUP(_xlfn.CONCAT($A6,"|",C$1),MasterSheet_WithPredictive!$A$1:$AP$265,37,FALSE)</f>
        <v>4142.8085110000002</v>
      </c>
      <c r="D6" s="30">
        <f>VLOOKUP(_xlfn.CONCAT($A6,"|",D$1),MasterSheet_WithPredictive!$A$1:$AP$265,37,FALSE)</f>
        <v>5533.187234</v>
      </c>
      <c r="E6" s="30">
        <f>VLOOKUP(_xlfn.CONCAT($A6,"|",E$1),MasterSheet_WithPredictive!$A$1:$AP$265,37,FALSE)</f>
        <v>5475.2113479999998</v>
      </c>
      <c r="F6" s="30">
        <f>VLOOKUP(_xlfn.CONCAT($A6,"|",F$1),MasterSheet_WithPredictive!$A$1:$AP$265,37,FALSE)</f>
        <v>5709.2713400000002</v>
      </c>
      <c r="G6" s="30">
        <f>VLOOKUP(_xlfn.CONCAT($A6,"|",G$1),MasterSheet_WithPredictive!$A$1:$AP$265,37,FALSE)</f>
        <v>5846.1955250000001</v>
      </c>
      <c r="H6" s="30">
        <f>VLOOKUP(_xlfn.CONCAT($A6,"|",H$1),MasterSheet_WithPredictive!$A$1:$AP$265,37,FALSE)</f>
        <v>5918.0469999999996</v>
      </c>
      <c r="I6" s="30">
        <f>VLOOKUP(_xlfn.CONCAT($A6,"|",I$1),MasterSheet_WithPredictive!$A$1:$AP$265,37,FALSE)</f>
        <v>6598.2787790000002</v>
      </c>
      <c r="J6" s="30">
        <f>VLOOKUP(_xlfn.CONCAT($A6,"|",J$1),MasterSheet_WithPredictive!$A$1:$AP$265,37,FALSE)</f>
        <v>7115.5981279999996</v>
      </c>
      <c r="K6" s="30">
        <f>VLOOKUP(_xlfn.CONCAT($A6,"|",K$1),MasterSheet_WithPredictive!$A$1:$AP$265,37,FALSE)</f>
        <v>7608.7470169999997</v>
      </c>
      <c r="L6" s="30">
        <f>VLOOKUP(_xlfn.CONCAT($A6,"|",L$1),MasterSheet_WithPredictive!$A$1:$AP$265,37,FALSE)</f>
        <v>8104.3812390000003</v>
      </c>
      <c r="M6" s="30">
        <f>VLOOKUP(_xlfn.CONCAT($A6,"|",M$1),MasterSheet_WithPredictive!$A$1:$AP$265,37,FALSE)</f>
        <v>8448.6971099999992</v>
      </c>
    </row>
    <row r="7" spans="1:13" x14ac:dyDescent="0.4">
      <c r="A7" s="1" t="s">
        <v>282</v>
      </c>
      <c r="B7" s="30">
        <f>VLOOKUP(_xlfn.CONCAT($A7,"|",B$1),MasterSheet_WithPredictive!$A$1:$AP$265,37,FALSE)</f>
        <v>23097.148850000001</v>
      </c>
      <c r="C7" s="30">
        <f>VLOOKUP(_xlfn.CONCAT($A7,"|",C$1),MasterSheet_WithPredictive!$A$1:$AP$265,37,FALSE)</f>
        <v>23117.046969999999</v>
      </c>
      <c r="D7" s="30">
        <f>VLOOKUP(_xlfn.CONCAT($A7,"|",D$1),MasterSheet_WithPredictive!$A$1:$AP$265,37,FALSE)</f>
        <v>25159.091219999998</v>
      </c>
      <c r="E7" s="30">
        <f>VLOOKUP(_xlfn.CONCAT($A7,"|",E$1),MasterSheet_WithPredictive!$A$1:$AP$265,37,FALSE)</f>
        <v>23231.140210000001</v>
      </c>
      <c r="F7" s="30">
        <f>VLOOKUP(_xlfn.CONCAT($A7,"|",F$1),MasterSheet_WithPredictive!$A$1:$AP$265,37,FALSE)</f>
        <v>25171.550500000001</v>
      </c>
      <c r="G7" s="30">
        <f>VLOOKUP(_xlfn.CONCAT($A7,"|",G$1),MasterSheet_WithPredictive!$A$1:$AP$265,37,FALSE)</f>
        <v>27651.057339999999</v>
      </c>
      <c r="H7" s="30">
        <f>VLOOKUP(_xlfn.CONCAT($A7,"|",H$1),MasterSheet_WithPredictive!$A$1:$AP$265,37,FALSE)</f>
        <v>28532.028569999999</v>
      </c>
      <c r="I7" s="30">
        <f>VLOOKUP(_xlfn.CONCAT($A7,"|",I$1),MasterSheet_WithPredictive!$A$1:$AP$265,37,FALSE)</f>
        <v>28918.140510000001</v>
      </c>
      <c r="J7" s="30">
        <f>VLOOKUP(_xlfn.CONCAT($A7,"|",J$1),MasterSheet_WithPredictive!$A$1:$AP$265,37,FALSE)</f>
        <v>29824.044849999998</v>
      </c>
      <c r="K7" s="30">
        <f>VLOOKUP(_xlfn.CONCAT($A7,"|",K$1),MasterSheet_WithPredictive!$A$1:$AP$265,37,FALSE)</f>
        <v>30771.919819999999</v>
      </c>
      <c r="L7" s="30">
        <f>VLOOKUP(_xlfn.CONCAT($A7,"|",L$1),MasterSheet_WithPredictive!$A$1:$AP$265,37,FALSE)</f>
        <v>31741.176530000001</v>
      </c>
      <c r="M7" s="30">
        <f>VLOOKUP(_xlfn.CONCAT($A7,"|",M$1),MasterSheet_WithPredictive!$A$1:$AP$265,37,FALSE)</f>
        <v>32636.1764</v>
      </c>
    </row>
    <row r="8" spans="1:13" x14ac:dyDescent="0.4">
      <c r="A8" s="1" t="s">
        <v>283</v>
      </c>
      <c r="B8" s="30">
        <f>VLOOKUP(_xlfn.CONCAT($A8,"|",B$1),MasterSheet_WithPredictive!$A$1:$AP$265,37,FALSE)</f>
        <v>30214.73804</v>
      </c>
      <c r="C8" s="30">
        <f>VLOOKUP(_xlfn.CONCAT($A8,"|",C$1),MasterSheet_WithPredictive!$A$1:$AP$265,37,FALSE)</f>
        <v>30054.977419999999</v>
      </c>
      <c r="D8" s="30">
        <f>VLOOKUP(_xlfn.CONCAT($A8,"|",D$1),MasterSheet_WithPredictive!$A$1:$AP$265,37,FALSE)</f>
        <v>32398.737829999998</v>
      </c>
      <c r="E8" s="30">
        <f>VLOOKUP(_xlfn.CONCAT($A8,"|",E$1),MasterSheet_WithPredictive!$A$1:$AP$265,37,FALSE)</f>
        <v>30556.586050000002</v>
      </c>
      <c r="F8" s="30">
        <f>VLOOKUP(_xlfn.CONCAT($A8,"|",F$1),MasterSheet_WithPredictive!$A$1:$AP$265,37,FALSE)</f>
        <v>33797.117599999998</v>
      </c>
      <c r="G8" s="30">
        <f>VLOOKUP(_xlfn.CONCAT($A8,"|",G$1),MasterSheet_WithPredictive!$A$1:$AP$265,37,FALSE)</f>
        <v>36238.270219999999</v>
      </c>
      <c r="H8" s="30">
        <f>VLOOKUP(_xlfn.CONCAT($A8,"|",H$1),MasterSheet_WithPredictive!$A$1:$AP$265,37,FALSE)</f>
        <v>37028.409090000001</v>
      </c>
      <c r="I8" s="30">
        <f>VLOOKUP(_xlfn.CONCAT($A8,"|",I$1),MasterSheet_WithPredictive!$A$1:$AP$265,37,FALSE)</f>
        <v>37595.928310000003</v>
      </c>
      <c r="J8" s="30">
        <f>VLOOKUP(_xlfn.CONCAT($A8,"|",J$1),MasterSheet_WithPredictive!$A$1:$AP$265,37,FALSE)</f>
        <v>38878.605459999999</v>
      </c>
      <c r="K8" s="30">
        <f>VLOOKUP(_xlfn.CONCAT($A8,"|",K$1),MasterSheet_WithPredictive!$A$1:$AP$265,37,FALSE)</f>
        <v>40146.995600000002</v>
      </c>
      <c r="L8" s="30">
        <f>VLOOKUP(_xlfn.CONCAT($A8,"|",L$1),MasterSheet_WithPredictive!$A$1:$AP$265,37,FALSE)</f>
        <v>41417.712979999997</v>
      </c>
      <c r="M8" s="30">
        <f>VLOOKUP(_xlfn.CONCAT($A8,"|",M$1),MasterSheet_WithPredictive!$A$1:$AP$265,37,FALSE)</f>
        <v>42516.093520000002</v>
      </c>
    </row>
    <row r="9" spans="1:13" x14ac:dyDescent="0.4">
      <c r="A9" s="1" t="s">
        <v>284</v>
      </c>
      <c r="B9" s="30">
        <f>VLOOKUP(_xlfn.CONCAT($A9,"|",B$1),MasterSheet_WithPredictive!$A$1:$AP$265,37,FALSE)</f>
        <v>615.65703880000001</v>
      </c>
      <c r="C9" s="30">
        <f>VLOOKUP(_xlfn.CONCAT($A9,"|",C$1),MasterSheet_WithPredictive!$A$1:$AP$265,37,FALSE)</f>
        <v>559.19946000000004</v>
      </c>
      <c r="D9" s="30">
        <f>VLOOKUP(_xlfn.CONCAT($A9,"|",D$1),MasterSheet_WithPredictive!$A$1:$AP$265,37,FALSE)</f>
        <v>680.39283760000001</v>
      </c>
      <c r="E9" s="30">
        <f>VLOOKUP(_xlfn.CONCAT($A9,"|",E$1),MasterSheet_WithPredictive!$A$1:$AP$265,37,FALSE)</f>
        <v>760.62335659999997</v>
      </c>
      <c r="F9" s="30">
        <f>VLOOKUP(_xlfn.CONCAT($A9,"|",F$1),MasterSheet_WithPredictive!$A$1:$AP$265,37,FALSE)</f>
        <v>851.43012499999998</v>
      </c>
      <c r="G9" s="30">
        <f>VLOOKUP(_xlfn.CONCAT($A9,"|",G$1),MasterSheet_WithPredictive!$A$1:$AP$265,37,FALSE)</f>
        <v>915.01685169999996</v>
      </c>
      <c r="H9" s="30">
        <f>VLOOKUP(_xlfn.CONCAT($A9,"|",H$1),MasterSheet_WithPredictive!$A$1:$AP$265,37,FALSE)</f>
        <v>1019.377329</v>
      </c>
      <c r="I9" s="30">
        <f>VLOOKUP(_xlfn.CONCAT($A9,"|",I$1),MasterSheet_WithPredictive!$A$1:$AP$265,37,FALSE)</f>
        <v>1087.3556880000001</v>
      </c>
      <c r="J9" s="30">
        <f>VLOOKUP(_xlfn.CONCAT($A9,"|",J$1),MasterSheet_WithPredictive!$A$1:$AP$265,37,FALSE)</f>
        <v>1176.961834</v>
      </c>
      <c r="K9" s="30">
        <f>VLOOKUP(_xlfn.CONCAT($A9,"|",K$1),MasterSheet_WithPredictive!$A$1:$AP$265,37,FALSE)</f>
        <v>1270.496527</v>
      </c>
      <c r="L9" s="30">
        <f>VLOOKUP(_xlfn.CONCAT($A9,"|",L$1),MasterSheet_WithPredictive!$A$1:$AP$265,37,FALSE)</f>
        <v>1367.8426919999999</v>
      </c>
      <c r="M9" s="30">
        <f>VLOOKUP(_xlfn.CONCAT($A9,"|",M$1),MasterSheet_WithPredictive!$A$1:$AP$265,37,FALSE)</f>
        <v>1474.4857039999999</v>
      </c>
    </row>
    <row r="10" spans="1:13" x14ac:dyDescent="0.4">
      <c r="A10" s="1" t="s">
        <v>285</v>
      </c>
      <c r="B10" s="30">
        <f>VLOOKUP(_xlfn.CONCAT($A10,"|",B$1),MasterSheet_WithPredictive!$A$1:$AP$265,37,FALSE)</f>
        <v>1418.9046559999999</v>
      </c>
      <c r="C10" s="30">
        <f>VLOOKUP(_xlfn.CONCAT($A10,"|",C$1),MasterSheet_WithPredictive!$A$1:$AP$265,37,FALSE)</f>
        <v>1388.394534</v>
      </c>
      <c r="D10" s="30">
        <f>VLOOKUP(_xlfn.CONCAT($A10,"|",D$1),MasterSheet_WithPredictive!$A$1:$AP$265,37,FALSE)</f>
        <v>1502.6101020000001</v>
      </c>
      <c r="E10" s="30">
        <f>VLOOKUP(_xlfn.CONCAT($A10,"|",E$1),MasterSheet_WithPredictive!$A$1:$AP$265,37,FALSE)</f>
        <v>1609.8468439999999</v>
      </c>
      <c r="F10" s="30">
        <f>VLOOKUP(_xlfn.CONCAT($A10,"|",F$1),MasterSheet_WithPredictive!$A$1:$AP$265,37,FALSE)</f>
        <v>1731.85402</v>
      </c>
      <c r="G10" s="30">
        <f>VLOOKUP(_xlfn.CONCAT($A10,"|",G$1),MasterSheet_WithPredictive!$A$1:$AP$265,37,FALSE)</f>
        <v>1835.6843240000001</v>
      </c>
      <c r="H10" s="30">
        <f>VLOOKUP(_xlfn.CONCAT($A10,"|",H$1),MasterSheet_WithPredictive!$A$1:$AP$265,37,FALSE)</f>
        <v>1718.0679829999999</v>
      </c>
      <c r="I10" s="30">
        <f>VLOOKUP(_xlfn.CONCAT($A10,"|",I$1),MasterSheet_WithPredictive!$A$1:$AP$265,37,FALSE)</f>
        <v>1823.3283799999999</v>
      </c>
      <c r="J10" s="30">
        <f>VLOOKUP(_xlfn.CONCAT($A10,"|",J$1),MasterSheet_WithPredictive!$A$1:$AP$265,37,FALSE)</f>
        <v>1907.538239</v>
      </c>
      <c r="K10" s="30">
        <f>VLOOKUP(_xlfn.CONCAT($A10,"|",K$1),MasterSheet_WithPredictive!$A$1:$AP$265,37,FALSE)</f>
        <v>1979.9744089999999</v>
      </c>
      <c r="L10" s="30">
        <f>VLOOKUP(_xlfn.CONCAT($A10,"|",L$1),MasterSheet_WithPredictive!$A$1:$AP$265,37,FALSE)</f>
        <v>2047.9660240000001</v>
      </c>
      <c r="M10" s="30">
        <f>VLOOKUP(_xlfn.CONCAT($A10,"|",M$1),MasterSheet_WithPredictive!$A$1:$AP$265,37,FALSE)</f>
        <v>2110.957985</v>
      </c>
    </row>
    <row r="11" spans="1:13" x14ac:dyDescent="0.4">
      <c r="A11" s="1" t="s">
        <v>286</v>
      </c>
      <c r="B11" s="30">
        <f>VLOOKUP(_xlfn.CONCAT($A11,"|",B$1),MasterSheet_WithPredictive!$A$1:$AP$265,37,FALSE)</f>
        <v>17945.664049999999</v>
      </c>
      <c r="C11" s="30">
        <f>VLOOKUP(_xlfn.CONCAT($A11,"|",C$1),MasterSheet_WithPredictive!$A$1:$AP$265,37,FALSE)</f>
        <v>17288.994559999999</v>
      </c>
      <c r="D11" s="30">
        <f>VLOOKUP(_xlfn.CONCAT($A11,"|",D$1),MasterSheet_WithPredictive!$A$1:$AP$265,37,FALSE)</f>
        <v>19961.42931</v>
      </c>
      <c r="E11" s="30">
        <f>VLOOKUP(_xlfn.CONCAT($A11,"|",E$1),MasterSheet_WithPredictive!$A$1:$AP$265,37,FALSE)</f>
        <v>18754.192520000001</v>
      </c>
      <c r="F11" s="30">
        <f>VLOOKUP(_xlfn.CONCAT($A11,"|",F$1),MasterSheet_WithPredictive!$A$1:$AP$265,37,FALSE)</f>
        <v>21388.726470000001</v>
      </c>
      <c r="G11" s="30">
        <f>VLOOKUP(_xlfn.CONCAT($A11,"|",G$1),MasterSheet_WithPredictive!$A$1:$AP$265,37,FALSE)</f>
        <v>23433.322769999999</v>
      </c>
      <c r="H11" s="30">
        <f>VLOOKUP(_xlfn.CONCAT($A11,"|",H$1),MasterSheet_WithPredictive!$A$1:$AP$265,37,FALSE)</f>
        <v>23178.93633</v>
      </c>
      <c r="I11" s="30">
        <f>VLOOKUP(_xlfn.CONCAT($A11,"|",I$1),MasterSheet_WithPredictive!$A$1:$AP$265,37,FALSE)</f>
        <v>24320.301729999999</v>
      </c>
      <c r="J11" s="30">
        <f>VLOOKUP(_xlfn.CONCAT($A11,"|",J$1),MasterSheet_WithPredictive!$A$1:$AP$265,37,FALSE)</f>
        <v>25493.047979999999</v>
      </c>
      <c r="K11" s="30">
        <f>VLOOKUP(_xlfn.CONCAT($A11,"|",K$1),MasterSheet_WithPredictive!$A$1:$AP$265,37,FALSE)</f>
        <v>26649.126629999999</v>
      </c>
      <c r="L11" s="30">
        <f>VLOOKUP(_xlfn.CONCAT($A11,"|",L$1),MasterSheet_WithPredictive!$A$1:$AP$265,37,FALSE)</f>
        <v>27812.26799</v>
      </c>
      <c r="M11" s="30">
        <f>VLOOKUP(_xlfn.CONCAT($A11,"|",M$1),MasterSheet_WithPredictive!$A$1:$AP$265,37,FALSE)</f>
        <v>28890.228800000001</v>
      </c>
    </row>
    <row r="12" spans="1:13" x14ac:dyDescent="0.4">
      <c r="A12" s="1" t="s">
        <v>287</v>
      </c>
      <c r="B12" s="30">
        <f>VLOOKUP(_xlfn.CONCAT($A12,"|",B$1),MasterSheet_WithPredictive!$A$1:$AP$265,37,FALSE)</f>
        <v>23655.028310000002</v>
      </c>
      <c r="C12" s="30">
        <f>VLOOKUP(_xlfn.CONCAT($A12,"|",C$1),MasterSheet_WithPredictive!$A$1:$AP$265,37,FALSE)</f>
        <v>23722.293109999999</v>
      </c>
      <c r="D12" s="30">
        <f>VLOOKUP(_xlfn.CONCAT($A12,"|",D$1),MasterSheet_WithPredictive!$A$1:$AP$265,37,FALSE)</f>
        <v>24611.193459999999</v>
      </c>
      <c r="E12" s="30">
        <f>VLOOKUP(_xlfn.CONCAT($A12,"|",E$1),MasterSheet_WithPredictive!$A$1:$AP$265,37,FALSE)</f>
        <v>20589.079730000001</v>
      </c>
      <c r="F12" s="30">
        <f>VLOOKUP(_xlfn.CONCAT($A12,"|",F$1),MasterSheet_WithPredictive!$A$1:$AP$265,37,FALSE)</f>
        <v>20732.707340000001</v>
      </c>
      <c r="G12" s="30">
        <f>VLOOKUP(_xlfn.CONCAT($A12,"|",G$1),MasterSheet_WithPredictive!$A$1:$AP$265,37,FALSE)</f>
        <v>20482.246910000002</v>
      </c>
      <c r="H12" s="30">
        <f>VLOOKUP(_xlfn.CONCAT($A12,"|",H$1),MasterSheet_WithPredictive!$A$1:$AP$265,37,FALSE)</f>
        <v>21574.555799999998</v>
      </c>
      <c r="I12" s="30">
        <f>VLOOKUP(_xlfn.CONCAT($A12,"|",I$1),MasterSheet_WithPredictive!$A$1:$AP$265,37,FALSE)</f>
        <v>20283.69555</v>
      </c>
      <c r="J12" s="30">
        <f>VLOOKUP(_xlfn.CONCAT($A12,"|",J$1),MasterSheet_WithPredictive!$A$1:$AP$265,37,FALSE)</f>
        <v>19518.05082</v>
      </c>
      <c r="K12" s="30">
        <f>VLOOKUP(_xlfn.CONCAT($A12,"|",K$1),MasterSheet_WithPredictive!$A$1:$AP$265,37,FALSE)</f>
        <v>18834.689590000002</v>
      </c>
      <c r="L12" s="30">
        <f>VLOOKUP(_xlfn.CONCAT($A12,"|",L$1),MasterSheet_WithPredictive!$A$1:$AP$265,37,FALSE)</f>
        <v>18167.89143</v>
      </c>
      <c r="M12" s="30">
        <f>VLOOKUP(_xlfn.CONCAT($A12,"|",M$1),MasterSheet_WithPredictive!$A$1:$AP$265,37,FALSE)</f>
        <v>17522.382890000001</v>
      </c>
    </row>
    <row r="13" spans="1:13" x14ac:dyDescent="0.4">
      <c r="A13" s="1" t="s">
        <v>288</v>
      </c>
      <c r="B13" s="30">
        <f>VLOOKUP(_xlfn.CONCAT($A13,"|",B$1),MasterSheet_WithPredictive!$A$1:$AP$265,37,FALSE)</f>
        <v>3237.5767420000002</v>
      </c>
      <c r="C13" s="30">
        <f>VLOOKUP(_xlfn.CONCAT($A13,"|",C$1),MasterSheet_WithPredictive!$A$1:$AP$265,37,FALSE)</f>
        <v>2852.677044</v>
      </c>
      <c r="D13" s="30">
        <f>VLOOKUP(_xlfn.CONCAT($A13,"|",D$1),MasterSheet_WithPredictive!$A$1:$AP$265,37,FALSE)</f>
        <v>3107.859387</v>
      </c>
      <c r="E13" s="30">
        <f>VLOOKUP(_xlfn.CONCAT($A13,"|",E$1),MasterSheet_WithPredictive!$A$1:$AP$265,37,FALSE)</f>
        <v>3624.28125</v>
      </c>
      <c r="F13" s="30">
        <f>VLOOKUP(_xlfn.CONCAT($A13,"|",F$1),MasterSheet_WithPredictive!$A$1:$AP$265,37,FALSE)</f>
        <v>4864.6938209999998</v>
      </c>
      <c r="G13" s="30">
        <f>VLOOKUP(_xlfn.CONCAT($A13,"|",G$1),MasterSheet_WithPredictive!$A$1:$AP$265,37,FALSE)</f>
        <v>5132.6611700000003</v>
      </c>
      <c r="H13" s="30">
        <f>VLOOKUP(_xlfn.CONCAT($A13,"|",H$1),MasterSheet_WithPredictive!$A$1:$AP$265,37,FALSE)</f>
        <v>4744.1784680000001</v>
      </c>
      <c r="I13" s="30">
        <f>VLOOKUP(_xlfn.CONCAT($A13,"|",I$1),MasterSheet_WithPredictive!$A$1:$AP$265,37,FALSE)</f>
        <v>5273.2703330000004</v>
      </c>
      <c r="J13" s="30">
        <f>VLOOKUP(_xlfn.CONCAT($A13,"|",J$1),MasterSheet_WithPredictive!$A$1:$AP$265,37,FALSE)</f>
        <v>5755.4977339999996</v>
      </c>
      <c r="K13" s="30">
        <f>VLOOKUP(_xlfn.CONCAT($A13,"|",K$1),MasterSheet_WithPredictive!$A$1:$AP$265,37,FALSE)</f>
        <v>6209.0234849999997</v>
      </c>
      <c r="L13" s="30">
        <f>VLOOKUP(_xlfn.CONCAT($A13,"|",L$1),MasterSheet_WithPredictive!$A$1:$AP$265,37,FALSE)</f>
        <v>6659.749683</v>
      </c>
      <c r="M13" s="30">
        <f>VLOOKUP(_xlfn.CONCAT($A13,"|",M$1),MasterSheet_WithPredictive!$A$1:$AP$265,37,FALSE)</f>
        <v>7140.183027</v>
      </c>
    </row>
    <row r="14" spans="1:13" x14ac:dyDescent="0.4">
      <c r="A14" s="1" t="s">
        <v>289</v>
      </c>
      <c r="B14" s="30">
        <f>VLOOKUP(_xlfn.CONCAT($A14,"|",B$1),MasterSheet_WithPredictive!$A$1:$AP$265,37,FALSE)</f>
        <v>33268.143499999998</v>
      </c>
      <c r="C14" s="30">
        <f>VLOOKUP(_xlfn.CONCAT($A14,"|",C$1),MasterSheet_WithPredictive!$A$1:$AP$265,37,FALSE)</f>
        <v>35895.548900000002</v>
      </c>
      <c r="D14" s="30">
        <f>VLOOKUP(_xlfn.CONCAT($A14,"|",D$1),MasterSheet_WithPredictive!$A$1:$AP$265,37,FALSE)</f>
        <v>39977.868269999999</v>
      </c>
      <c r="E14" s="30">
        <f>VLOOKUP(_xlfn.CONCAT($A14,"|",E$1),MasterSheet_WithPredictive!$A$1:$AP$265,37,FALSE)</f>
        <v>36688.489979999998</v>
      </c>
      <c r="F14" s="30">
        <f>VLOOKUP(_xlfn.CONCAT($A14,"|",F$1),MasterSheet_WithPredictive!$A$1:$AP$265,37,FALSE)</f>
        <v>42616.917099999999</v>
      </c>
      <c r="G14" s="30">
        <f>VLOOKUP(_xlfn.CONCAT($A14,"|",G$1),MasterSheet_WithPredictive!$A$1:$AP$265,37,FALSE)</f>
        <v>45478.176039999998</v>
      </c>
      <c r="H14" s="30">
        <f>VLOOKUP(_xlfn.CONCAT($A14,"|",H$1),MasterSheet_WithPredictive!$A$1:$AP$265,37,FALSE)</f>
        <v>46288.287389999998</v>
      </c>
      <c r="I14" s="30">
        <f>VLOOKUP(_xlfn.CONCAT($A14,"|",I$1),MasterSheet_WithPredictive!$A$1:$AP$265,37,FALSE)</f>
        <v>48406.393709999997</v>
      </c>
      <c r="J14" s="30">
        <f>VLOOKUP(_xlfn.CONCAT($A14,"|",J$1),MasterSheet_WithPredictive!$A$1:$AP$265,37,FALSE)</f>
        <v>50899.80646</v>
      </c>
      <c r="K14" s="30">
        <f>VLOOKUP(_xlfn.CONCAT($A14,"|",K$1),MasterSheet_WithPredictive!$A$1:$AP$265,37,FALSE)</f>
        <v>53292.991829999999</v>
      </c>
      <c r="L14" s="30">
        <f>VLOOKUP(_xlfn.CONCAT($A14,"|",L$1),MasterSheet_WithPredictive!$A$1:$AP$265,37,FALSE)</f>
        <v>55660.704530000003</v>
      </c>
      <c r="M14" s="30">
        <f>VLOOKUP(_xlfn.CONCAT($A14,"|",M$1),MasterSheet_WithPredictive!$A$1:$AP$265,37,FALSE)</f>
        <v>57880.578009999997</v>
      </c>
    </row>
    <row r="15" spans="1:13" x14ac:dyDescent="0.4">
      <c r="A15" s="1" t="s">
        <v>290</v>
      </c>
      <c r="B15" s="30">
        <f>VLOOKUP(_xlfn.CONCAT($A15,"|",B$1),MasterSheet_WithPredictive!$A$1:$AP$265,37,FALSE)</f>
        <v>5148.4258650000002</v>
      </c>
      <c r="C15" s="30">
        <f>VLOOKUP(_xlfn.CONCAT($A15,"|",C$1),MasterSheet_WithPredictive!$A$1:$AP$265,37,FALSE)</f>
        <v>4797.1639919999998</v>
      </c>
      <c r="D15" s="30">
        <f>VLOOKUP(_xlfn.CONCAT($A15,"|",D$1),MasterSheet_WithPredictive!$A$1:$AP$265,37,FALSE)</f>
        <v>5530.0559709999998</v>
      </c>
      <c r="E15" s="30">
        <f>VLOOKUP(_xlfn.CONCAT($A15,"|",E$1),MasterSheet_WithPredictive!$A$1:$AP$265,37,FALSE)</f>
        <v>6591.7482209999998</v>
      </c>
      <c r="F15" s="30">
        <f>VLOOKUP(_xlfn.CONCAT($A15,"|",F$1),MasterSheet_WithPredictive!$A$1:$AP$265,37,FALSE)</f>
        <v>6779.0090680000003</v>
      </c>
      <c r="G15" s="30">
        <f>VLOOKUP(_xlfn.CONCAT($A15,"|",G$1),MasterSheet_WithPredictive!$A$1:$AP$265,37,FALSE)</f>
        <v>6739.6734340000003</v>
      </c>
      <c r="H15" s="30">
        <f>VLOOKUP(_xlfn.CONCAT($A15,"|",H$1),MasterSheet_WithPredictive!$A$1:$AP$265,37,FALSE)</f>
        <v>6168.5721940000003</v>
      </c>
      <c r="I15" s="30">
        <f>VLOOKUP(_xlfn.CONCAT($A15,"|",I$1),MasterSheet_WithPredictive!$A$1:$AP$265,37,FALSE)</f>
        <v>6708.9896650000001</v>
      </c>
      <c r="J15" s="30">
        <f>VLOOKUP(_xlfn.CONCAT($A15,"|",J$1),MasterSheet_WithPredictive!$A$1:$AP$265,37,FALSE)</f>
        <v>7111.0775210000002</v>
      </c>
      <c r="K15" s="30">
        <f>VLOOKUP(_xlfn.CONCAT($A15,"|",K$1),MasterSheet_WithPredictive!$A$1:$AP$265,37,FALSE)</f>
        <v>7429.4648440000001</v>
      </c>
      <c r="L15" s="30">
        <f>VLOOKUP(_xlfn.CONCAT($A15,"|",L$1),MasterSheet_WithPredictive!$A$1:$AP$265,37,FALSE)</f>
        <v>7716.9995719999997</v>
      </c>
      <c r="M15" s="30">
        <f>VLOOKUP(_xlfn.CONCAT($A15,"|",M$1),MasterSheet_WithPredictive!$A$1:$AP$265,37,FALSE)</f>
        <v>7874.0531920000003</v>
      </c>
    </row>
    <row r="16" spans="1:13" x14ac:dyDescent="0.4">
      <c r="A16" s="1" t="s">
        <v>291</v>
      </c>
      <c r="B16" s="30">
        <f>VLOOKUP(_xlfn.CONCAT($A16,"|",B$1),MasterSheet_WithPredictive!$A$1:$AP$265,37,FALSE)</f>
        <v>12087.486070000001</v>
      </c>
      <c r="C16" s="30">
        <f>VLOOKUP(_xlfn.CONCAT($A16,"|",C$1),MasterSheet_WithPredictive!$A$1:$AP$265,37,FALSE)</f>
        <v>9195.5537069999991</v>
      </c>
      <c r="D16" s="30">
        <f>VLOOKUP(_xlfn.CONCAT($A16,"|",D$1),MasterSheet_WithPredictive!$A$1:$AP$265,37,FALSE)</f>
        <v>13073.39249</v>
      </c>
      <c r="E16" s="30">
        <f>VLOOKUP(_xlfn.CONCAT($A16,"|",E$1),MasterSheet_WithPredictive!$A$1:$AP$265,37,FALSE)</f>
        <v>15924.35881</v>
      </c>
      <c r="F16" s="30">
        <f>VLOOKUP(_xlfn.CONCAT($A16,"|",F$1),MasterSheet_WithPredictive!$A$1:$AP$265,37,FALSE)</f>
        <v>15574.118420000001</v>
      </c>
      <c r="G16" s="30">
        <f>VLOOKUP(_xlfn.CONCAT($A16,"|",G$1),MasterSheet_WithPredictive!$A$1:$AP$265,37,FALSE)</f>
        <v>15330.809370000001</v>
      </c>
      <c r="H16" s="30">
        <f>VLOOKUP(_xlfn.CONCAT($A16,"|",H$1),MasterSheet_WithPredictive!$A$1:$AP$265,37,FALSE)</f>
        <v>14564.0113</v>
      </c>
      <c r="I16" s="30">
        <f>VLOOKUP(_xlfn.CONCAT($A16,"|",I$1),MasterSheet_WithPredictive!$A$1:$AP$265,37,FALSE)</f>
        <v>16016.551009999999</v>
      </c>
      <c r="J16" s="30">
        <f>VLOOKUP(_xlfn.CONCAT($A16,"|",J$1),MasterSheet_WithPredictive!$A$1:$AP$265,37,FALSE)</f>
        <v>17069.11636</v>
      </c>
      <c r="K16" s="30">
        <f>VLOOKUP(_xlfn.CONCAT($A16,"|",K$1),MasterSheet_WithPredictive!$A$1:$AP$265,37,FALSE)</f>
        <v>17960.769059999999</v>
      </c>
      <c r="L16" s="30">
        <f>VLOOKUP(_xlfn.CONCAT($A16,"|",L$1),MasterSheet_WithPredictive!$A$1:$AP$265,37,FALSE)</f>
        <v>18798.776020000001</v>
      </c>
      <c r="M16" s="30">
        <f>VLOOKUP(_xlfn.CONCAT($A16,"|",M$1),MasterSheet_WithPredictive!$A$1:$AP$265,37,FALSE)</f>
        <v>19271.391599999999</v>
      </c>
    </row>
    <row r="17" spans="1:13" x14ac:dyDescent="0.4">
      <c r="A17" s="1" t="s">
        <v>292</v>
      </c>
      <c r="B17" s="30">
        <f>VLOOKUP(_xlfn.CONCAT($A17,"|",B$1),MasterSheet_WithPredictive!$A$1:$AP$265,37,FALSE)</f>
        <v>927.31505389999995</v>
      </c>
      <c r="C17" s="30">
        <f>VLOOKUP(_xlfn.CONCAT($A17,"|",C$1),MasterSheet_WithPredictive!$A$1:$AP$265,37,FALSE)</f>
        <v>777.6313596</v>
      </c>
      <c r="D17" s="30">
        <f>VLOOKUP(_xlfn.CONCAT($A17,"|",D$1),MasterSheet_WithPredictive!$A$1:$AP$265,37,FALSE)</f>
        <v>475.47481649999997</v>
      </c>
      <c r="E17" s="30">
        <f>VLOOKUP(_xlfn.CONCAT($A17,"|",E$1),MasterSheet_WithPredictive!$A$1:$AP$265,37,FALSE)</f>
        <v>528.45933479999997</v>
      </c>
      <c r="F17" s="30">
        <f>VLOOKUP(_xlfn.CONCAT($A17,"|",F$1),MasterSheet_WithPredictive!$A$1:$AP$265,37,FALSE)</f>
        <v>535.59528490000002</v>
      </c>
      <c r="G17" s="30">
        <f>VLOOKUP(_xlfn.CONCAT($A17,"|",G$1),MasterSheet_WithPredictive!$A$1:$AP$265,37,FALSE)</f>
        <v>624.860457</v>
      </c>
      <c r="H17" s="30">
        <f>VLOOKUP(_xlfn.CONCAT($A17,"|",H$1),MasterSheet_WithPredictive!$A$1:$AP$265,37,FALSE)</f>
        <v>707.81344790000003</v>
      </c>
      <c r="I17" s="30">
        <f>VLOOKUP(_xlfn.CONCAT($A17,"|",I$1),MasterSheet_WithPredictive!$A$1:$AP$265,37,FALSE)</f>
        <v>591.42077470000004</v>
      </c>
      <c r="J17" s="30">
        <f>VLOOKUP(_xlfn.CONCAT($A17,"|",J$1),MasterSheet_WithPredictive!$A$1:$AP$265,37,FALSE)</f>
        <v>533.88701609999998</v>
      </c>
      <c r="K17" s="30">
        <f>VLOOKUP(_xlfn.CONCAT($A17,"|",K$1),MasterSheet_WithPredictive!$A$1:$AP$265,37,FALSE)</f>
        <v>491.93951800000002</v>
      </c>
      <c r="L17" s="30">
        <f>VLOOKUP(_xlfn.CONCAT($A17,"|",L$1),MasterSheet_WithPredictive!$A$1:$AP$265,37,FALSE)</f>
        <v>455.1245136</v>
      </c>
      <c r="M17" s="30">
        <f>VLOOKUP(_xlfn.CONCAT($A17,"|",M$1),MasterSheet_WithPredictive!$A$1:$AP$265,37,FALSE)</f>
        <v>415.81111190000001</v>
      </c>
    </row>
    <row r="18" spans="1:13" x14ac:dyDescent="0.4">
      <c r="A18" s="1" t="s">
        <v>293</v>
      </c>
      <c r="B18" s="30">
        <f>VLOOKUP(_xlfn.CONCAT($A18,"|",B$1),MasterSheet_WithPredictive!$A$1:$AP$265,37,FALSE)</f>
        <v>19477.092519999998</v>
      </c>
      <c r="C18" s="30">
        <f>VLOOKUP(_xlfn.CONCAT($A18,"|",C$1),MasterSheet_WithPredictive!$A$1:$AP$265,37,FALSE)</f>
        <v>19844.740229999999</v>
      </c>
      <c r="D18" s="30">
        <f>VLOOKUP(_xlfn.CONCAT($A18,"|",D$1),MasterSheet_WithPredictive!$A$1:$AP$265,37,FALSE)</f>
        <v>21985.26252</v>
      </c>
      <c r="E18" s="30">
        <f>VLOOKUP(_xlfn.CONCAT($A18,"|",E$1),MasterSheet_WithPredictive!$A$1:$AP$265,37,FALSE)</f>
        <v>19797.016800000001</v>
      </c>
      <c r="F18" s="30">
        <f>VLOOKUP(_xlfn.CONCAT($A18,"|",F$1),MasterSheet_WithPredictive!$A$1:$AP$265,37,FALSE)</f>
        <v>20565.660909999999</v>
      </c>
      <c r="G18" s="30">
        <f>VLOOKUP(_xlfn.CONCAT($A18,"|",G$1),MasterSheet_WithPredictive!$A$1:$AP$265,37,FALSE)</f>
        <v>21503.840230000002</v>
      </c>
      <c r="H18" s="30">
        <f>VLOOKUP(_xlfn.CONCAT($A18,"|",H$1),MasterSheet_WithPredictive!$A$1:$AP$265,37,FALSE)</f>
        <v>20274.343949999999</v>
      </c>
      <c r="I18" s="30">
        <f>VLOOKUP(_xlfn.CONCAT($A18,"|",I$1),MasterSheet_WithPredictive!$A$1:$AP$265,37,FALSE)</f>
        <v>20635.122640000001</v>
      </c>
      <c r="J18" s="30">
        <f>VLOOKUP(_xlfn.CONCAT($A18,"|",J$1),MasterSheet_WithPredictive!$A$1:$AP$265,37,FALSE)</f>
        <v>20937.138449999999</v>
      </c>
      <c r="K18" s="30">
        <f>VLOOKUP(_xlfn.CONCAT($A18,"|",K$1),MasterSheet_WithPredictive!$A$1:$AP$265,37,FALSE)</f>
        <v>21132.128369999999</v>
      </c>
      <c r="L18" s="30">
        <f>VLOOKUP(_xlfn.CONCAT($A18,"|",L$1),MasterSheet_WithPredictive!$A$1:$AP$265,37,FALSE)</f>
        <v>21288.395560000001</v>
      </c>
      <c r="M18" s="30">
        <f>VLOOKUP(_xlfn.CONCAT($A18,"|",M$1),MasterSheet_WithPredictive!$A$1:$AP$265,37,FALSE)</f>
        <v>21088.855060000002</v>
      </c>
    </row>
    <row r="19" spans="1:13" x14ac:dyDescent="0.4">
      <c r="A19" s="1" t="s">
        <v>294</v>
      </c>
      <c r="B19" s="30">
        <f>VLOOKUP(_xlfn.CONCAT($A19,"|",B$1),MasterSheet_WithPredictive!$A$1:$AP$265,37,FALSE)</f>
        <v>16179.250239999999</v>
      </c>
      <c r="C19" s="30">
        <f>VLOOKUP(_xlfn.CONCAT($A19,"|",C$1),MasterSheet_WithPredictive!$A$1:$AP$265,37,FALSE)</f>
        <v>15054.336300000001</v>
      </c>
      <c r="D19" s="30">
        <f>VLOOKUP(_xlfn.CONCAT($A19,"|",D$1),MasterSheet_WithPredictive!$A$1:$AP$265,37,FALSE)</f>
        <v>17042.528610000001</v>
      </c>
      <c r="E19" s="30">
        <f>VLOOKUP(_xlfn.CONCAT($A19,"|",E$1),MasterSheet_WithPredictive!$A$1:$AP$265,37,FALSE)</f>
        <v>15943.151169999999</v>
      </c>
      <c r="F19" s="30">
        <f>VLOOKUP(_xlfn.CONCAT($A19,"|",F$1),MasterSheet_WithPredictive!$A$1:$AP$265,37,FALSE)</f>
        <v>18933.73114</v>
      </c>
      <c r="G19" s="30">
        <f>VLOOKUP(_xlfn.CONCAT($A19,"|",G$1),MasterSheet_WithPredictive!$A$1:$AP$265,37,FALSE)</f>
        <v>20505.008430000002</v>
      </c>
      <c r="H19" s="30">
        <f>VLOOKUP(_xlfn.CONCAT($A19,"|",H$1),MasterSheet_WithPredictive!$A$1:$AP$265,37,FALSE)</f>
        <v>21556.602439999999</v>
      </c>
      <c r="I19" s="30">
        <f>VLOOKUP(_xlfn.CONCAT($A19,"|",I$1),MasterSheet_WithPredictive!$A$1:$AP$265,37,FALSE)</f>
        <v>22111.95794</v>
      </c>
      <c r="J19" s="30">
        <f>VLOOKUP(_xlfn.CONCAT($A19,"|",J$1),MasterSheet_WithPredictive!$A$1:$AP$265,37,FALSE)</f>
        <v>23127.49481</v>
      </c>
      <c r="K19" s="30">
        <f>VLOOKUP(_xlfn.CONCAT($A19,"|",K$1),MasterSheet_WithPredictive!$A$1:$AP$265,37,FALSE)</f>
        <v>24188.085309999999</v>
      </c>
      <c r="L19" s="30">
        <f>VLOOKUP(_xlfn.CONCAT($A19,"|",L$1),MasterSheet_WithPredictive!$A$1:$AP$265,37,FALSE)</f>
        <v>25272.16444</v>
      </c>
      <c r="M19" s="30">
        <f>VLOOKUP(_xlfn.CONCAT($A19,"|",M$1),MasterSheet_WithPredictive!$A$1:$AP$265,37,FALSE)</f>
        <v>26489.60557</v>
      </c>
    </row>
    <row r="20" spans="1:13" x14ac:dyDescent="0.4">
      <c r="A20" s="1" t="s">
        <v>295</v>
      </c>
      <c r="B20" s="30">
        <f>VLOOKUP(_xlfn.CONCAT($A20,"|",B$1),MasterSheet_WithPredictive!$A$1:$AP$265,37,FALSE)</f>
        <v>51314.37702</v>
      </c>
      <c r="C20" s="30">
        <f>VLOOKUP(_xlfn.CONCAT($A20,"|",C$1),MasterSheet_WithPredictive!$A$1:$AP$265,37,FALSE)</f>
        <v>53514.319210000001</v>
      </c>
      <c r="D20" s="30">
        <f>VLOOKUP(_xlfn.CONCAT($A20,"|",D$1),MasterSheet_WithPredictive!$A$1:$AP$265,37,FALSE)</f>
        <v>58259.487009999997</v>
      </c>
      <c r="E20" s="30">
        <f>VLOOKUP(_xlfn.CONCAT($A20,"|",E$1),MasterSheet_WithPredictive!$A$1:$AP$265,37,FALSE)</f>
        <v>59657.328809999999</v>
      </c>
      <c r="F20" s="30">
        <f>VLOOKUP(_xlfn.CONCAT($A20,"|",F$1),MasterSheet_WithPredictive!$A$1:$AP$265,37,FALSE)</f>
        <v>64751.252619999999</v>
      </c>
      <c r="G20" s="30">
        <f>VLOOKUP(_xlfn.CONCAT($A20,"|",G$1),MasterSheet_WithPredictive!$A$1:$AP$265,37,FALSE)</f>
        <v>67520.822849999997</v>
      </c>
      <c r="H20" s="30">
        <f>VLOOKUP(_xlfn.CONCAT($A20,"|",H$1),MasterSheet_WithPredictive!$A$1:$AP$265,37,FALSE)</f>
        <v>68163.186809999999</v>
      </c>
      <c r="I20" s="30">
        <f>VLOOKUP(_xlfn.CONCAT($A20,"|",I$1),MasterSheet_WithPredictive!$A$1:$AP$265,37,FALSE)</f>
        <v>72061.770120000001</v>
      </c>
      <c r="J20" s="30">
        <f>VLOOKUP(_xlfn.CONCAT($A20,"|",J$1),MasterSheet_WithPredictive!$A$1:$AP$265,37,FALSE)</f>
        <v>75531.042870000005</v>
      </c>
      <c r="K20" s="30">
        <f>VLOOKUP(_xlfn.CONCAT($A20,"|",K$1),MasterSheet_WithPredictive!$A$1:$AP$265,37,FALSE)</f>
        <v>78873.603059999994</v>
      </c>
      <c r="L20" s="30">
        <f>VLOOKUP(_xlfn.CONCAT($A20,"|",L$1),MasterSheet_WithPredictive!$A$1:$AP$265,37,FALSE)</f>
        <v>82192.097219999996</v>
      </c>
      <c r="M20" s="30">
        <f>VLOOKUP(_xlfn.CONCAT($A20,"|",M$1),MasterSheet_WithPredictive!$A$1:$AP$265,37,FALSE)</f>
        <v>85138.779330000005</v>
      </c>
    </row>
    <row r="21" spans="1:13" x14ac:dyDescent="0.4">
      <c r="A21" s="1" t="s">
        <v>296</v>
      </c>
      <c r="B21" s="30">
        <f>VLOOKUP(_xlfn.CONCAT($A21,"|",B$1),MasterSheet_WithPredictive!$A$1:$AP$265,37,FALSE)</f>
        <v>3219.6115089999998</v>
      </c>
      <c r="C21" s="30">
        <f>VLOOKUP(_xlfn.CONCAT($A21,"|",C$1),MasterSheet_WithPredictive!$A$1:$AP$265,37,FALSE)</f>
        <v>3125.709124</v>
      </c>
      <c r="D21" s="30">
        <f>VLOOKUP(_xlfn.CONCAT($A21,"|",D$1),MasterSheet_WithPredictive!$A$1:$AP$265,37,FALSE)</f>
        <v>3186.1983770000002</v>
      </c>
      <c r="E21" s="30">
        <f>VLOOKUP(_xlfn.CONCAT($A21,"|",E$1),MasterSheet_WithPredictive!$A$1:$AP$265,37,FALSE)</f>
        <v>1237.2728930000001</v>
      </c>
      <c r="F21" s="30">
        <f>VLOOKUP(_xlfn.CONCAT($A21,"|",F$1),MasterSheet_WithPredictive!$A$1:$AP$265,37,FALSE)</f>
        <v>2527.1672050000002</v>
      </c>
      <c r="G21" s="30">
        <f>VLOOKUP(_xlfn.CONCAT($A21,"|",G$1),MasterSheet_WithPredictive!$A$1:$AP$265,37,FALSE)</f>
        <v>2675.6992679999998</v>
      </c>
      <c r="H21" s="30">
        <f>VLOOKUP(_xlfn.CONCAT($A21,"|",H$1),MasterSheet_WithPredictive!$A$1:$AP$265,37,FALSE)</f>
        <v>4261.5786019999996</v>
      </c>
      <c r="I21" s="30">
        <f>VLOOKUP(_xlfn.CONCAT($A21,"|",I$1),MasterSheet_WithPredictive!$A$1:$AP$265,37,FALSE)</f>
        <v>4476.9826210000001</v>
      </c>
      <c r="J21" s="30">
        <f>VLOOKUP(_xlfn.CONCAT($A21,"|",J$1),MasterSheet_WithPredictive!$A$1:$AP$265,37,FALSE)</f>
        <v>4697.0417120000002</v>
      </c>
      <c r="K21" s="30">
        <f>VLOOKUP(_xlfn.CONCAT($A21,"|",K$1),MasterSheet_WithPredictive!$A$1:$AP$265,37,FALSE)</f>
        <v>4900.0072190000001</v>
      </c>
      <c r="L21" s="30">
        <f>VLOOKUP(_xlfn.CONCAT($A21,"|",L$1),MasterSheet_WithPredictive!$A$1:$AP$265,37,FALSE)</f>
        <v>5075.6250739999996</v>
      </c>
      <c r="M21" s="30">
        <f>VLOOKUP(_xlfn.CONCAT($A21,"|",M$1),MasterSheet_WithPredictive!$A$1:$AP$265,37,FALSE)</f>
        <v>5315.4618449999998</v>
      </c>
    </row>
    <row r="22" spans="1:13" x14ac:dyDescent="0.4">
      <c r="A22" s="1" t="s">
        <v>297</v>
      </c>
      <c r="B22" s="30">
        <f>VLOOKUP(_xlfn.CONCAT($A22,"|",B$1),MasterSheet_WithPredictive!$A$1:$AP$265,37,FALSE)</f>
        <v>23793.465499999998</v>
      </c>
      <c r="C22" s="30">
        <f>VLOOKUP(_xlfn.CONCAT($A22,"|",C$1),MasterSheet_WithPredictive!$A$1:$AP$265,37,FALSE)</f>
        <v>23238.83495</v>
      </c>
      <c r="D22" s="30">
        <f>VLOOKUP(_xlfn.CONCAT($A22,"|",D$1),MasterSheet_WithPredictive!$A$1:$AP$265,37,FALSE)</f>
        <v>26745.2526</v>
      </c>
      <c r="E22" s="30">
        <f>VLOOKUP(_xlfn.CONCAT($A22,"|",E$1),MasterSheet_WithPredictive!$A$1:$AP$265,37,FALSE)</f>
        <v>25343.711910000002</v>
      </c>
      <c r="F22" s="30">
        <f>VLOOKUP(_xlfn.CONCAT($A22,"|",F$1),MasterSheet_WithPredictive!$A$1:$AP$265,37,FALSE)</f>
        <v>28806.654210000001</v>
      </c>
      <c r="G22" s="30">
        <f>VLOOKUP(_xlfn.CONCAT($A22,"|",G$1),MasterSheet_WithPredictive!$A$1:$AP$265,37,FALSE)</f>
        <v>31871.837960000001</v>
      </c>
      <c r="H22" s="30">
        <f>VLOOKUP(_xlfn.CONCAT($A22,"|",H$1),MasterSheet_WithPredictive!$A$1:$AP$265,37,FALSE)</f>
        <v>32143.727790000001</v>
      </c>
      <c r="I22" s="30">
        <f>VLOOKUP(_xlfn.CONCAT($A22,"|",I$1),MasterSheet_WithPredictive!$A$1:$AP$265,37,FALSE)</f>
        <v>33439.040630000003</v>
      </c>
      <c r="J22" s="30">
        <f>VLOOKUP(_xlfn.CONCAT($A22,"|",J$1),MasterSheet_WithPredictive!$A$1:$AP$265,37,FALSE)</f>
        <v>35178.869379999996</v>
      </c>
      <c r="K22" s="30">
        <f>VLOOKUP(_xlfn.CONCAT($A22,"|",K$1),MasterSheet_WithPredictive!$A$1:$AP$265,37,FALSE)</f>
        <v>36864.719270000001</v>
      </c>
      <c r="L22" s="30">
        <f>VLOOKUP(_xlfn.CONCAT($A22,"|",L$1),MasterSheet_WithPredictive!$A$1:$AP$265,37,FALSE)</f>
        <v>38540.431799999998</v>
      </c>
      <c r="M22" s="30">
        <f>VLOOKUP(_xlfn.CONCAT($A22,"|",M$1),MasterSheet_WithPredictive!$A$1:$AP$265,37,FALSE)</f>
        <v>40191.8076</v>
      </c>
    </row>
    <row r="23" spans="1:13" x14ac:dyDescent="0.4">
      <c r="A23" s="1" t="s">
        <v>298</v>
      </c>
      <c r="B23" s="30">
        <f>VLOOKUP(_xlfn.CONCAT($A23,"|",B$1),MasterSheet_WithPredictive!$A$1:$AP$265,37,FALSE)</f>
        <v>33048.424099999997</v>
      </c>
      <c r="C23" s="30">
        <f>VLOOKUP(_xlfn.CONCAT($A23,"|",C$1),MasterSheet_WithPredictive!$A$1:$AP$265,37,FALSE)</f>
        <v>33702.878920000003</v>
      </c>
      <c r="D23" s="30">
        <f>VLOOKUP(_xlfn.CONCAT($A23,"|",D$1),MasterSheet_WithPredictive!$A$1:$AP$265,37,FALSE)</f>
        <v>35793.975160000002</v>
      </c>
      <c r="E23" s="30">
        <f>VLOOKUP(_xlfn.CONCAT($A23,"|",E$1),MasterSheet_WithPredictive!$A$1:$AP$265,37,FALSE)</f>
        <v>36631.78357</v>
      </c>
      <c r="F23" s="30">
        <f>VLOOKUP(_xlfn.CONCAT($A23,"|",F$1),MasterSheet_WithPredictive!$A$1:$AP$265,37,FALSE)</f>
        <v>40700.2399</v>
      </c>
      <c r="G23" s="30">
        <f>VLOOKUP(_xlfn.CONCAT($A23,"|",G$1),MasterSheet_WithPredictive!$A$1:$AP$265,37,FALSE)</f>
        <v>43428.320879999999</v>
      </c>
      <c r="H23" s="30">
        <f>VLOOKUP(_xlfn.CONCAT($A23,"|",H$1),MasterSheet_WithPredictive!$A$1:$AP$265,37,FALSE)</f>
        <v>46536.322569999997</v>
      </c>
      <c r="I23" s="30">
        <f>VLOOKUP(_xlfn.CONCAT($A23,"|",I$1),MasterSheet_WithPredictive!$A$1:$AP$265,37,FALSE)</f>
        <v>47800.055670000002</v>
      </c>
      <c r="J23" s="30">
        <f>VLOOKUP(_xlfn.CONCAT($A23,"|",J$1),MasterSheet_WithPredictive!$A$1:$AP$265,37,FALSE)</f>
        <v>50140.794929999996</v>
      </c>
      <c r="K23" s="30">
        <f>VLOOKUP(_xlfn.CONCAT($A23,"|",K$1),MasterSheet_WithPredictive!$A$1:$AP$265,37,FALSE)</f>
        <v>52511.517339999999</v>
      </c>
      <c r="L23" s="30">
        <f>VLOOKUP(_xlfn.CONCAT($A23,"|",L$1),MasterSheet_WithPredictive!$A$1:$AP$265,37,FALSE)</f>
        <v>54899.814120000003</v>
      </c>
      <c r="M23" s="30">
        <f>VLOOKUP(_xlfn.CONCAT($A23,"|",M$1),MasterSheet_WithPredictive!$A$1:$AP$265,37,FALSE)</f>
        <v>57381.403149999998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6EE2A-EBB8-42F8-B2FF-CE8F3F892ADA}">
  <dimension ref="A2:H27"/>
  <sheetViews>
    <sheetView zoomScale="34" zoomScaleNormal="100" workbookViewId="0">
      <selection activeCell="B3" sqref="B3"/>
    </sheetView>
  </sheetViews>
  <sheetFormatPr defaultColWidth="8.84375" defaultRowHeight="14.6" x14ac:dyDescent="0.4"/>
  <cols>
    <col min="1" max="1" width="26.84375" style="27" customWidth="1"/>
    <col min="2" max="2" width="47" style="27" customWidth="1"/>
    <col min="3" max="3" width="61.07421875" style="27" customWidth="1"/>
    <col min="4" max="4" width="73.53515625" style="27" customWidth="1"/>
    <col min="5" max="5" width="53.69140625" style="27" customWidth="1"/>
    <col min="6" max="6" width="186.07421875" style="27" customWidth="1"/>
    <col min="7" max="7" width="190.765625" style="27" bestFit="1" customWidth="1"/>
  </cols>
  <sheetData>
    <row r="2" spans="1:8" ht="45.9" x14ac:dyDescent="1.1000000000000001">
      <c r="A2" s="9"/>
      <c r="B2" s="14"/>
      <c r="C2" s="13" t="s">
        <v>304</v>
      </c>
      <c r="D2" s="10"/>
      <c r="E2" s="11"/>
      <c r="F2" s="10"/>
      <c r="G2" s="10"/>
      <c r="H2" s="12"/>
    </row>
    <row r="3" spans="1:8" ht="45.9" x14ac:dyDescent="1.1000000000000001">
      <c r="A3" s="9"/>
      <c r="B3" s="28">
        <v>2025</v>
      </c>
      <c r="C3" s="15"/>
      <c r="D3" s="10"/>
      <c r="E3" s="11"/>
      <c r="F3" s="10"/>
      <c r="G3" s="10"/>
      <c r="H3" s="12"/>
    </row>
    <row r="4" spans="1:8" ht="35.15" x14ac:dyDescent="0.8">
      <c r="A4" s="16"/>
      <c r="B4" s="17" t="str">
        <f>B3 &amp; " - HEART SCORE G-20+2 RANKING"</f>
        <v>2025 - HEART SCORE G-20+2 RANKING</v>
      </c>
      <c r="C4" s="18"/>
      <c r="D4" s="19" t="s">
        <v>272</v>
      </c>
      <c r="E4" s="19" t="s">
        <v>273</v>
      </c>
      <c r="F4" s="19" t="s">
        <v>274</v>
      </c>
      <c r="G4" s="19" t="str">
        <f>_xlfn.CONCAT("Outlook - ",B3+1)</f>
        <v>Outlook - 2026</v>
      </c>
    </row>
    <row r="5" spans="1:8" ht="45.9" x14ac:dyDescent="1.1000000000000001">
      <c r="A5" s="20"/>
      <c r="B5" s="21" t="s">
        <v>275</v>
      </c>
      <c r="C5" s="21" t="s">
        <v>276</v>
      </c>
      <c r="D5" s="22"/>
      <c r="E5" s="23"/>
      <c r="F5" s="24"/>
      <c r="G5" s="24"/>
    </row>
    <row r="6" spans="1:8" ht="58.75" customHeight="1" x14ac:dyDescent="1">
      <c r="A6" s="16">
        <v>1</v>
      </c>
      <c r="B6" s="25">
        <f>Preprocessing1!A5</f>
        <v>20</v>
      </c>
      <c r="C6" s="25">
        <f>Preprocessing1!B5</f>
        <v>17</v>
      </c>
      <c r="D6" s="21" t="str">
        <f>Preprocessing1!C5</f>
        <v>ARGENTINA</v>
      </c>
      <c r="E6" s="21" t="str">
        <f>Preprocessing1!F5</f>
        <v>0.22D</v>
      </c>
      <c r="F6" s="26" t="str">
        <f>Preprocessing1!G5</f>
        <v>Weak Economic Resilience with Poor Affordability.</v>
      </c>
      <c r="G6" s="26" t="str">
        <f>_xlfn.CONCAT("Heart Score: ",Preprocessing2!F5,", Resilience Rank: ",Preprocessing2!A5,", Affordability Rank: ",Preprocessing2!B5)</f>
        <v>Heart Score: 0.18D+, Resilience Rank: 21, Affordability Rank: 17</v>
      </c>
    </row>
    <row r="7" spans="1:8" ht="45.9" customHeight="1" x14ac:dyDescent="1">
      <c r="A7" s="16">
        <v>2</v>
      </c>
      <c r="B7" s="25">
        <f>Preprocessing1!A6</f>
        <v>17</v>
      </c>
      <c r="C7" s="25">
        <f>Preprocessing1!B6</f>
        <v>4</v>
      </c>
      <c r="D7" s="21" t="str">
        <f>Preprocessing1!C6</f>
        <v>AUSTRALIA</v>
      </c>
      <c r="E7" s="21" t="str">
        <f>Preprocessing1!F6</f>
        <v>0.34A-</v>
      </c>
      <c r="F7" s="26" t="str">
        <f>Preprocessing1!G6</f>
        <v>Satisfactory Economic Resilience with High Affordability.</v>
      </c>
      <c r="G7" s="26" t="str">
        <f>_xlfn.CONCAT("Heart Score: ",Preprocessing2!F6,", Resilience Rank: ",Preprocessing2!A6,", Affordability Rank: ",Preprocessing2!B6)</f>
        <v>Heart Score: 0.37A, Resilience Rank: 17, Affordability Rank: 4</v>
      </c>
    </row>
    <row r="8" spans="1:8" ht="44.15" customHeight="1" x14ac:dyDescent="1">
      <c r="A8" s="16">
        <v>3</v>
      </c>
      <c r="B8" s="25">
        <f>Preprocessing1!A7</f>
        <v>18</v>
      </c>
      <c r="C8" s="25">
        <f>Preprocessing1!B7</f>
        <v>19</v>
      </c>
      <c r="D8" s="21" t="str">
        <f>Preprocessing1!C7</f>
        <v>BRAZIL</v>
      </c>
      <c r="E8" s="21" t="str">
        <f>Preprocessing1!F7</f>
        <v>0.33D</v>
      </c>
      <c r="F8" s="26" t="str">
        <f>Preprocessing1!G7</f>
        <v>Satisfactory Economic Resilience with Poor Affordability.</v>
      </c>
      <c r="G8" s="26" t="str">
        <f>_xlfn.CONCAT("Heart Score: ",Preprocessing2!F7,", Resilience Rank: ",Preprocessing2!A7,", Affordability Rank: ",Preprocessing2!B7)</f>
        <v>Heart Score: 0.33D, Resilience Rank: 19, Affordability Rank: 19</v>
      </c>
    </row>
    <row r="9" spans="1:8" ht="50.15" customHeight="1" x14ac:dyDescent="1">
      <c r="A9" s="16">
        <v>4</v>
      </c>
      <c r="B9" s="25">
        <f>Preprocessing1!A8</f>
        <v>12</v>
      </c>
      <c r="C9" s="25">
        <f>Preprocessing1!B8</f>
        <v>6</v>
      </c>
      <c r="D9" s="21" t="str">
        <f>Preprocessing1!C8</f>
        <v>CANADA</v>
      </c>
      <c r="E9" s="21" t="str">
        <f>Preprocessing1!F8</f>
        <v>0.41B+</v>
      </c>
      <c r="F9" s="26" t="str">
        <f>Preprocessing1!G8</f>
        <v>Good Economic Resilience with Very Good Affordability.</v>
      </c>
      <c r="G9" s="26" t="str">
        <f>_xlfn.CONCAT("Heart Score: ",Preprocessing2!F8,", Resilience Rank: ",Preprocessing2!A8,", Affordability Rank: ",Preprocessing2!B8)</f>
        <v>Heart Score: 0.43A-, Resilience Rank: 12, Affordability Rank: 6</v>
      </c>
    </row>
    <row r="10" spans="1:8" ht="55.75" customHeight="1" x14ac:dyDescent="1">
      <c r="A10" s="16">
        <v>5</v>
      </c>
      <c r="B10" s="25">
        <f>Preprocessing1!A9</f>
        <v>2</v>
      </c>
      <c r="C10" s="25">
        <f>Preprocessing1!B9</f>
        <v>15</v>
      </c>
      <c r="D10" s="21" t="str">
        <f>Preprocessing1!C9</f>
        <v>CHINA</v>
      </c>
      <c r="E10" s="21" t="str">
        <f>Preprocessing1!F9</f>
        <v>0.73D+</v>
      </c>
      <c r="F10" s="26" t="str">
        <f>Preprocessing1!G9</f>
        <v>Superb Economic Resilience with Challenging Affordability.</v>
      </c>
      <c r="G10" s="26" t="str">
        <f>_xlfn.CONCAT("Heart Score: ",Preprocessing2!F9,", Resilience Rank: ",Preprocessing2!A9,", Affordability Rank: ",Preprocessing2!B9)</f>
        <v>Heart Score: 0.75D+, Resilience Rank: 2, Affordability Rank: 15</v>
      </c>
    </row>
    <row r="11" spans="1:8" ht="55.75" customHeight="1" x14ac:dyDescent="1">
      <c r="A11" s="16">
        <v>6</v>
      </c>
      <c r="B11" s="25">
        <f>Preprocessing1!A10</f>
        <v>10</v>
      </c>
      <c r="C11" s="25">
        <f>Preprocessing1!B10</f>
        <v>8</v>
      </c>
      <c r="D11" s="21" t="str">
        <f>Preprocessing1!C10</f>
        <v>FRANCE</v>
      </c>
      <c r="E11" s="21" t="str">
        <f>Preprocessing1!F10</f>
        <v>0.44B</v>
      </c>
      <c r="F11" s="26" t="str">
        <f>Preprocessing1!G10</f>
        <v>Good Economic Resilience with Good Affordability.</v>
      </c>
      <c r="G11" s="26" t="str">
        <f>_xlfn.CONCAT("Heart Score: ",Preprocessing2!F10,", Resilience Rank: ",Preprocessing2!A10,", Affordability Rank: ",Preprocessing2!B10)</f>
        <v>Heart Score: 0.45B, Resilience Rank: 10, Affordability Rank: 8</v>
      </c>
    </row>
    <row r="12" spans="1:8" ht="61.3" customHeight="1" x14ac:dyDescent="1">
      <c r="A12" s="16">
        <v>7</v>
      </c>
      <c r="B12" s="25">
        <f>Preprocessing1!A11</f>
        <v>4</v>
      </c>
      <c r="C12" s="25">
        <f>Preprocessing1!B11</f>
        <v>5</v>
      </c>
      <c r="D12" s="21" t="str">
        <f>Preprocessing1!C11</f>
        <v>GERMANY</v>
      </c>
      <c r="E12" s="21" t="str">
        <f>Preprocessing1!F11</f>
        <v>0.54A-</v>
      </c>
      <c r="F12" s="26" t="str">
        <f>Preprocessing1!G11</f>
        <v>Excellent Economic Resilience with High Affordability.</v>
      </c>
      <c r="G12" s="26" t="str">
        <f>_xlfn.CONCAT("Heart Score: ",Preprocessing2!F11,", Resilience Rank: ",Preprocessing2!A11,", Affordability Rank: ",Preprocessing2!B11)</f>
        <v>Heart Score: 0.53A-, Resilience Rank: 7, Affordability Rank: 5</v>
      </c>
    </row>
    <row r="13" spans="1:8" ht="58.75" customHeight="1" x14ac:dyDescent="1">
      <c r="A13" s="16">
        <v>8</v>
      </c>
      <c r="B13" s="25">
        <f>Preprocessing1!A12</f>
        <v>22</v>
      </c>
      <c r="C13" s="25">
        <f>Preprocessing1!B12</f>
        <v>21</v>
      </c>
      <c r="D13" s="21" t="str">
        <f>Preprocessing1!C12</f>
        <v>INDIA</v>
      </c>
      <c r="E13" s="21" t="str">
        <f>Preprocessing1!F12</f>
        <v>0.17D-</v>
      </c>
      <c r="F13" s="26" t="str">
        <f>Preprocessing1!G12</f>
        <v>Weak Economic Resilience with Very Weak Affordability.</v>
      </c>
      <c r="G13" s="26" t="str">
        <f>_xlfn.CONCAT("Heart Score: ",Preprocessing2!F12,", Resilience Rank: ",Preprocessing2!A12,", Affordability Rank: ",Preprocessing2!B12)</f>
        <v>Heart Score: 0.18D-, Resilience Rank: 22, Affordability Rank: 21</v>
      </c>
    </row>
    <row r="14" spans="1:8" ht="52.75" customHeight="1" x14ac:dyDescent="1">
      <c r="A14" s="16">
        <v>9</v>
      </c>
      <c r="B14" s="25">
        <f>Preprocessing1!A13</f>
        <v>11</v>
      </c>
      <c r="C14" s="25">
        <f>Preprocessing1!B13</f>
        <v>20</v>
      </c>
      <c r="D14" s="21" t="str">
        <f>Preprocessing1!C13</f>
        <v>INDONESIA</v>
      </c>
      <c r="E14" s="21" t="str">
        <f>Preprocessing1!F13</f>
        <v>0.43D-</v>
      </c>
      <c r="F14" s="26" t="str">
        <f>Preprocessing1!G13</f>
        <v>Good Economic Resilience with Very Weak Affordability.</v>
      </c>
      <c r="G14" s="26" t="str">
        <f>_xlfn.CONCAT("Heart Score: ",Preprocessing2!F13,", Resilience Rank: ",Preprocessing2!A13,", Affordability Rank: ",Preprocessing2!B13)</f>
        <v>Heart Score: 0.45D-, Resilience Rank: 9, Affordability Rank: 20</v>
      </c>
    </row>
    <row r="15" spans="1:8" ht="54.45" customHeight="1" x14ac:dyDescent="1">
      <c r="A15" s="16">
        <v>10</v>
      </c>
      <c r="B15" s="25">
        <f>Preprocessing1!A14</f>
        <v>9</v>
      </c>
      <c r="C15" s="25">
        <f>Preprocessing1!B14</f>
        <v>9</v>
      </c>
      <c r="D15" s="21" t="str">
        <f>Preprocessing1!C14</f>
        <v>ITALY</v>
      </c>
      <c r="E15" s="21" t="str">
        <f>Preprocessing1!F14</f>
        <v>0.45B-</v>
      </c>
      <c r="F15" s="26" t="str">
        <f>Preprocessing1!G14</f>
        <v>Good Economic Resilience with Satisfactory Affordability.</v>
      </c>
      <c r="G15" s="26" t="str">
        <f>_xlfn.CONCAT("Heart Score: ",Preprocessing2!F14,", Resilience Rank: ",Preprocessing2!A14,", Affordability Rank: ",Preprocessing2!B14)</f>
        <v>Heart Score: 0.44B-, Resilience Rank: 11, Affordability Rank: 9</v>
      </c>
    </row>
    <row r="16" spans="1:8" ht="55.75" customHeight="1" x14ac:dyDescent="1">
      <c r="A16" s="16">
        <v>11</v>
      </c>
      <c r="B16" s="25">
        <f>Preprocessing1!A15</f>
        <v>13</v>
      </c>
      <c r="C16" s="25">
        <f>Preprocessing1!B15</f>
        <v>10</v>
      </c>
      <c r="D16" s="21" t="str">
        <f>Preprocessing1!C15</f>
        <v>JAPAN</v>
      </c>
      <c r="E16" s="21" t="str">
        <f>Preprocessing1!F15</f>
        <v>0.41B-</v>
      </c>
      <c r="F16" s="26" t="str">
        <f>Preprocessing1!G15</f>
        <v>Satisfactory Economic Resilience with Satisfactory Affordability.</v>
      </c>
      <c r="G16" s="26" t="str">
        <f>_xlfn.CONCAT("Heart Score: ",Preprocessing2!F15,", Resilience Rank: ",Preprocessing2!A15,", Affordability Rank: ",Preprocessing2!B15)</f>
        <v>Heart Score: 0.41B-, Resilience Rank: 13, Affordability Rank: 12</v>
      </c>
    </row>
    <row r="17" spans="1:7" ht="52.75" customHeight="1" x14ac:dyDescent="1">
      <c r="A17" s="16">
        <v>12</v>
      </c>
      <c r="B17" s="25">
        <f>Preprocessing1!A16</f>
        <v>19</v>
      </c>
      <c r="C17" s="25">
        <f>Preprocessing1!B16</f>
        <v>16</v>
      </c>
      <c r="D17" s="21" t="str">
        <f>Preprocessing1!C16</f>
        <v>MEXICO</v>
      </c>
      <c r="E17" s="21" t="str">
        <f>Preprocessing1!F16</f>
        <v>0.32D</v>
      </c>
      <c r="F17" s="26" t="str">
        <f>Preprocessing1!G16</f>
        <v>Satisfactory Economic Resilience with Poor Affordability.</v>
      </c>
      <c r="G17" s="26" t="str">
        <f>_xlfn.CONCAT("Heart Score: ",Preprocessing2!F16,", Resilience Rank: ",Preprocessing2!A16,", Affordability Rank: ",Preprocessing2!B16)</f>
        <v>Heart Score: 0.34D+, Resilience Rank: 18, Affordability Rank: 16</v>
      </c>
    </row>
    <row r="18" spans="1:7" ht="48.45" customHeight="1" x14ac:dyDescent="1">
      <c r="A18" s="16">
        <v>13</v>
      </c>
      <c r="B18" s="25">
        <f>Preprocessing1!A17</f>
        <v>7</v>
      </c>
      <c r="C18" s="25">
        <f>Preprocessing1!B17</f>
        <v>3</v>
      </c>
      <c r="D18" s="21" t="str">
        <f>Preprocessing1!C17</f>
        <v>NETHERLAND</v>
      </c>
      <c r="E18" s="21" t="str">
        <f>Preprocessing1!F17</f>
        <v>0.5A</v>
      </c>
      <c r="F18" s="26" t="str">
        <f>Preprocessing1!G17</f>
        <v>Good Economic Resilience with Excellent Affordability.</v>
      </c>
      <c r="G18" s="26" t="str">
        <f>_xlfn.CONCAT("Heart Score: ",Preprocessing2!F17,", Resilience Rank: ",Preprocessing2!A17,", Affordability Rank: ",Preprocessing2!B17)</f>
        <v>Heart Score: 0.53A, Resilience Rank: 6, Affordability Rank: 2</v>
      </c>
    </row>
    <row r="19" spans="1:7" ht="48.45" customHeight="1" x14ac:dyDescent="1">
      <c r="A19" s="16">
        <v>14</v>
      </c>
      <c r="B19" s="25">
        <f>Preprocessing1!A18</f>
        <v>6</v>
      </c>
      <c r="C19" s="25">
        <f>Preprocessing1!B18</f>
        <v>14</v>
      </c>
      <c r="D19" s="21" t="str">
        <f>Preprocessing1!C18</f>
        <v>RUSSIA</v>
      </c>
      <c r="E19" s="21" t="str">
        <f>Preprocessing1!F18</f>
        <v>0.51D+</v>
      </c>
      <c r="F19" s="26" t="str">
        <f>Preprocessing1!G18</f>
        <v>Excellent Economic Resilience with Challenging Affordability.</v>
      </c>
      <c r="G19" s="26" t="str">
        <f>_xlfn.CONCAT("Heart Score: ",Preprocessing2!F18,", Resilience Rank: ",Preprocessing2!A18,", Affordability Rank: ",Preprocessing2!B18)</f>
        <v>Heart Score: 0.55D+, Resilience Rank: 5, Affordability Rank: 14</v>
      </c>
    </row>
    <row r="20" spans="1:7" ht="54.45" customHeight="1" x14ac:dyDescent="1">
      <c r="A20" s="16">
        <v>15</v>
      </c>
      <c r="B20" s="25">
        <f>Preprocessing1!A19</f>
        <v>1</v>
      </c>
      <c r="C20" s="25">
        <f>Preprocessing1!B19</f>
        <v>13</v>
      </c>
      <c r="D20" s="21" t="str">
        <f>Preprocessing1!C19</f>
        <v>SAUDI ARABIA</v>
      </c>
      <c r="E20" s="21" t="str">
        <f>Preprocessing1!F19</f>
        <v>0.76C</v>
      </c>
      <c r="F20" s="26" t="str">
        <f>Preprocessing1!G19</f>
        <v>Superb Economic Resilience with Improved Affordability.</v>
      </c>
      <c r="G20" s="26" t="str">
        <f>_xlfn.CONCAT("Heart Score: ",Preprocessing2!F19,", Resilience Rank: ",Preprocessing2!A19,", Affordability Rank: ",Preprocessing2!B19)</f>
        <v>Heart Score: 0.79C+, Resilience Rank: 1, Affordability Rank: 13</v>
      </c>
    </row>
    <row r="21" spans="1:7" ht="58.75" customHeight="1" x14ac:dyDescent="1">
      <c r="A21" s="16">
        <v>16</v>
      </c>
      <c r="B21" s="25">
        <f>Preprocessing1!A20</f>
        <v>14</v>
      </c>
      <c r="C21" s="25">
        <f>Preprocessing1!B20</f>
        <v>22</v>
      </c>
      <c r="D21" s="21" t="str">
        <f>Preprocessing1!C20</f>
        <v>SOUTH AFRICA</v>
      </c>
      <c r="E21" s="21" t="str">
        <f>Preprocessing1!F20</f>
        <v>0.4D-</v>
      </c>
      <c r="F21" s="26" t="str">
        <f>Preprocessing1!G20</f>
        <v>Satisfactory Economic Resilience with Very Weak Affordability.</v>
      </c>
      <c r="G21" s="26" t="str">
        <f>_xlfn.CONCAT("Heart Score: ",Preprocessing2!F20,", Resilience Rank: ",Preprocessing2!A20,", Affordability Rank: ",Preprocessing2!B20)</f>
        <v>Heart Score: 0.38D-, Resilience Rank: 15, Affordability Rank: 22</v>
      </c>
    </row>
    <row r="22" spans="1:7" ht="58.75" customHeight="1" x14ac:dyDescent="1">
      <c r="A22" s="16">
        <v>17</v>
      </c>
      <c r="B22" s="25">
        <f>Preprocessing1!A21</f>
        <v>16</v>
      </c>
      <c r="C22" s="25">
        <f>Preprocessing1!B21</f>
        <v>12</v>
      </c>
      <c r="D22" s="21" t="str">
        <f>Preprocessing1!C21</f>
        <v>SOUTH KOREA</v>
      </c>
      <c r="E22" s="21" t="str">
        <f>Preprocessing1!F21</f>
        <v>0.36B-</v>
      </c>
      <c r="F22" s="26" t="str">
        <f>Preprocessing1!G21</f>
        <v>Satisfactory Economic Resilience with Satisfactory Affordability.</v>
      </c>
      <c r="G22" s="26" t="str">
        <f>_xlfn.CONCAT("Heart Score: ",Preprocessing2!F21,", Resilience Rank: ",Preprocessing2!A21,", Affordability Rank: ",Preprocessing2!B21)</f>
        <v>Heart Score: 0.38B-, Resilience Rank: 16, Affordability Rank: 11</v>
      </c>
    </row>
    <row r="23" spans="1:7" ht="58.75" customHeight="1" x14ac:dyDescent="1">
      <c r="A23" s="16">
        <v>18</v>
      </c>
      <c r="B23" s="25">
        <f>Preprocessing1!A22</f>
        <v>8</v>
      </c>
      <c r="C23" s="25">
        <f>Preprocessing1!B22</f>
        <v>11</v>
      </c>
      <c r="D23" s="21" t="str">
        <f>Preprocessing1!C22</f>
        <v>SPAIN</v>
      </c>
      <c r="E23" s="21" t="str">
        <f>Preprocessing1!F22</f>
        <v>0.48B-</v>
      </c>
      <c r="F23" s="26" t="str">
        <f>Preprocessing1!G22</f>
        <v>Good Economic Resilience with Satisfactory Affordability.</v>
      </c>
      <c r="G23" s="26" t="str">
        <f>_xlfn.CONCAT("Heart Score: ",Preprocessing2!F22,", Resilience Rank: ",Preprocessing2!A22,", Affordability Rank: ",Preprocessing2!B22)</f>
        <v>Heart Score: 0.48B-, Resilience Rank: 8, Affordability Rank: 10</v>
      </c>
    </row>
    <row r="24" spans="1:7" ht="52.75" customHeight="1" x14ac:dyDescent="1">
      <c r="A24" s="16">
        <v>19</v>
      </c>
      <c r="B24" s="25">
        <f>Preprocessing1!A23</f>
        <v>5</v>
      </c>
      <c r="C24" s="25">
        <f>Preprocessing1!B23</f>
        <v>1</v>
      </c>
      <c r="D24" s="21" t="str">
        <f>Preprocessing1!C23</f>
        <v>SWITZERLAND</v>
      </c>
      <c r="E24" s="21" t="str">
        <f>Preprocessing1!F23</f>
        <v>0.52A+</v>
      </c>
      <c r="F24" s="26" t="str">
        <f>Preprocessing1!G23</f>
        <v>Excellent Economic Resilience with Superb Affordability.</v>
      </c>
      <c r="G24" s="26" t="str">
        <f>_xlfn.CONCAT("Heart Score: ",Preprocessing2!F23,", Resilience Rank: ",Preprocessing2!A23,", Affordability Rank: ",Preprocessing2!B23)</f>
        <v>Heart Score: 0.57A+, Resilience Rank: 4, Affordability Rank: 1</v>
      </c>
    </row>
    <row r="25" spans="1:7" ht="48.45" customHeight="1" x14ac:dyDescent="1">
      <c r="A25" s="16">
        <v>20</v>
      </c>
      <c r="B25" s="25">
        <f>Preprocessing1!A24</f>
        <v>21</v>
      </c>
      <c r="C25" s="25">
        <f>Preprocessing1!B24</f>
        <v>18</v>
      </c>
      <c r="D25" s="21" t="str">
        <f>Preprocessing1!C24</f>
        <v>TURKEY</v>
      </c>
      <c r="E25" s="21" t="str">
        <f>Preprocessing1!F24</f>
        <v>0.2D</v>
      </c>
      <c r="F25" s="26" t="str">
        <f>Preprocessing1!G24</f>
        <v>Weak Economic Resilience with Poor Affordability.</v>
      </c>
      <c r="G25" s="26" t="str">
        <f>_xlfn.CONCAT("Heart Score: ",Preprocessing2!F24,", Resilience Rank: ",Preprocessing2!A24,", Affordability Rank: ",Preprocessing2!B24)</f>
        <v>Heart Score: 0.24D, Resilience Rank: 20, Affordability Rank: 18</v>
      </c>
    </row>
    <row r="26" spans="1:7" ht="51.45" customHeight="1" x14ac:dyDescent="1">
      <c r="A26" s="16">
        <v>21</v>
      </c>
      <c r="B26" s="25">
        <f>Preprocessing1!A25</f>
        <v>15</v>
      </c>
      <c r="C26" s="25">
        <f>Preprocessing1!B25</f>
        <v>7</v>
      </c>
      <c r="D26" s="21" t="str">
        <f>Preprocessing1!C25</f>
        <v>UNITED KINGDOM</v>
      </c>
      <c r="E26" s="21" t="str">
        <f>Preprocessing1!F25</f>
        <v>0.39B+</v>
      </c>
      <c r="F26" s="26" t="str">
        <f>Preprocessing1!G25</f>
        <v>Satisfactory Economic Resilience with Very Good Affordability.</v>
      </c>
      <c r="G26" s="26" t="str">
        <f>_xlfn.CONCAT("Heart Score: ",Preprocessing2!F25,", Resilience Rank: ",Preprocessing2!A25,", Affordability Rank: ",Preprocessing2!B25)</f>
        <v>Heart Score: 0.39B+, Resilience Rank: 14, Affordability Rank: 7</v>
      </c>
    </row>
    <row r="27" spans="1:7" ht="41.15" customHeight="1" x14ac:dyDescent="1">
      <c r="A27" s="16">
        <v>22</v>
      </c>
      <c r="B27" s="25">
        <f>Preprocessing1!A26</f>
        <v>3</v>
      </c>
      <c r="C27" s="25">
        <f>Preprocessing1!B26</f>
        <v>2</v>
      </c>
      <c r="D27" s="21" t="str">
        <f>Preprocessing1!C26</f>
        <v>USA</v>
      </c>
      <c r="E27" s="21" t="str">
        <f>Preprocessing1!F26</f>
        <v>0.65A</v>
      </c>
      <c r="F27" s="26" t="str">
        <f>Preprocessing1!G26</f>
        <v>Excellent Economic Resilience with Excellent Affordability.</v>
      </c>
      <c r="G27" s="26" t="str">
        <f>_xlfn.CONCAT("Heart Score: ",Preprocessing2!F26,", Resilience Rank: ",Preprocessing2!A26,", Affordability Rank: ",Preprocessing2!B26)</f>
        <v>Heart Score: 0.65A, Resilience Rank: 3, Affordability Rank: 3</v>
      </c>
    </row>
  </sheetData>
  <autoFilter ref="B5:F27" xr:uid="{DAB6EE2A-EBB8-42F8-B2FF-CE8F3F892ADA}">
    <sortState xmlns:xlrd2="http://schemas.microsoft.com/office/spreadsheetml/2017/richdata2" ref="B6:F27">
      <sortCondition ref="D5:D27"/>
    </sortState>
  </autoFilter>
  <phoneticPr fontId="26" type="noConversion"/>
  <dataValidations count="1">
    <dataValidation type="list" allowBlank="1" showInputMessage="1" showErrorMessage="1" sqref="B3" xr:uid="{AE3F9797-38E7-47AC-8A32-96E2CC8DF15B}">
      <formula1>"2019,2020,2021,2023,2024,2025,2026,2027,2028,2029,2030"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MasterSheet_WithPredictive</vt:lpstr>
      <vt:lpstr>Preprocessing1</vt:lpstr>
      <vt:lpstr>Preprocessing2</vt:lpstr>
      <vt:lpstr>RESILIENCE</vt:lpstr>
      <vt:lpstr>AFFORDIBILITY</vt:lpstr>
      <vt:lpstr>G20+3 Countries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Taiyab Khan</dc:creator>
  <cp:lastModifiedBy>Mohammad Taiyab Khan</cp:lastModifiedBy>
  <dcterms:created xsi:type="dcterms:W3CDTF">2026-01-23T18:35:34Z</dcterms:created>
  <dcterms:modified xsi:type="dcterms:W3CDTF">2026-02-08T22:12:20Z</dcterms:modified>
</cp:coreProperties>
</file>